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276" documentId="13_ncr:1_{4CBA3FCD-3F21-4F99-9320-E2DF1148D8FA}" xr6:coauthVersionLast="47" xr6:coauthVersionMax="47" xr10:uidLastSave="{A40AFE6C-7F4F-4E73-9796-AB7F711D87F3}"/>
  <bookViews>
    <workbookView xWindow="-120" yWindow="-120" windowWidth="38640" windowHeight="21120" tabRatio="458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<sst xmlns="http://schemas.openxmlformats.org/spreadsheetml/2006/main" count="1062" uniqueCount="629">
  <si>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</si>
  <si>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</si>
  <si>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</si>
  <si>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</si>
  <si>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</si>
  <si>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</si>
  <si>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</si>
  <si>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</si>
  <si>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</si>
  <si>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</si>
  <si>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</si>
  <si>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</si>
  <si>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</si>
  <si>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</si>
  <si>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</si>
  <si>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</si>
  <si>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</si>
  <si>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</si>
  <si>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</si>
  <si>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</si>
  <si>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</si>
  <si>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</si>
  <si>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</si>
  <si>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</si>
  <si>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</si>
  <si>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</si>
  <si>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</si>
  <si>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</si>
  <si>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</si>
  <si>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</si>
  <si>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</si>
  <si>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</si>
  <si>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</si>
  <si>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</si>
  <si>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</si>
  <si>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</si>
  <si>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</si>
  <si>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</si>
  <si>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</si>
  <si>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</si>
  <si>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</si>
  <si>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</si>
  <si>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</si>
  <si>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</si>
  <si>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</si>
  <si>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</si>
  <si>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</si>
  <si>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</si>
  <si>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</si>
  <si>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</si>
  <si>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</si>
  <si>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</si>
  <si>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</si>
  <si>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</si>
  <si>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</si>
  <si>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</si>
  <si>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</si>
  <si>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</si>
  <si>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</si>
  <si>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</si>
  <si>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</si>
  <si>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</si>
  <si>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</si>
  <si>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</si>
  <si>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</si>
  <si>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</si>
  <si>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</si>
  <si>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</si>
  <si>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</si>
  <si>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</si>
  <si>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</si>
  <si>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</si>
  <si>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</si>
  <si>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</si>
  <si>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</si>
  <si>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</si>
  <si>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</si>
  <si>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</si>
  <si>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</si>
  <si>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</si>
  <si>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</si>
  <si>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</si>
  <si>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</si>
  <si>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</si>
  <si>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</si>
  <si>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</si>
  <si>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</si>
  <si>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</si>
  <si>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</si>
  <si>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</si>
  <si>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</si>
  <si>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</si>
  <si>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</si>
  <si>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</si>
  <si>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</si>
  <si>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</si>
  <si>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</si>
  <si>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</si>
  <si>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</si>
  <si>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</si>
  <si>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</si>
  <si>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</si>
  <si>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</si>
  <si>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</si>
  <si>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</si>
  <si>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</si>
  <si>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</si>
  <si>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</si>
  <si>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</si>
  <si>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</si>
  <si>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</si>
  <si>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</si>
  <si>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</si>
  <si>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</si>
  <si>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</si>
  <si>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</si>
  <si>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</si>
  <si>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</si>
  <si>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</si>
  <si>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</si>
  <si>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</si>
  <si>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</si>
  <si>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</si>
  <si>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</si>
  <si>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</si>
  <si>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</si>
  <si>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</si>
  <si>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</si>
  <si>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</si>
  <si>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</si>
  <si>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</si>
  <si>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</si>
  <si>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</si>
  <si>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</si>
  <si>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</si>
  <si>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</si>
  <si>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</si>
  <si>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</si>
  <si>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</si>
  <si>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</si>
  <si>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</si>
  <si>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</si>
  <si>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</si>
  <si>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</si>
  <si>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</si>
  <si>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</si>
  <si>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</si>
  <si>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</si>
  <si>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</si>
  <si>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</si>
  <si>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</si>
  <si>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</si>
  <si>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</si>
  <si>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</si>
  <si>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</si>
  <si>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</si>
  <si>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</si>
  <si>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</si>
  <si>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</si>
  <si>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</si>
  <si>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</si>
  <si>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</si>
  <si>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</si>
  <si>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</si>
  <si>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</si>
  <si>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</si>
  <si>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</si>
  <si>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</si>
  <si>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</si>
  <si>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</si>
  <si>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</si>
  <si>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</si>
  <si>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</si>
  <si>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</si>
  <si>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</si>
  <si>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</si>
  <si>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</si>
  <si>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</si>
  <si>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</si>
  <si>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</si>
  <si>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</si>
  <si>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</si>
  <si>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</si>
  <si>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</si>
  <si>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</si>
  <si>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</si>
  <si>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</si>
  <si>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</si>
  <si>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</si>
  <si>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</si>
  <si>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</si>
  <si>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</si>
  <si>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</si>
  <si>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</si>
  <si>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</si>
  <si>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</si>
  <si>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</si>
  <si>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</si>
  <si>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</si>
  <si>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</si>
  <si>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</si>
  <si>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</si>
  <si>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</si>
  <si>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</si>
  <si>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</si>
  <si>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</si>
  <si>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</si>
  <si>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</si>
  <si>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</si>
  <si>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</si>
  <si>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</si>
  <si>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</si>
  <si>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</si>
  <si>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</si>
  <si>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</si>
  <si>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</si>
  <si>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</si>
  <si>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</si>
  <si>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</si>
  <si>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</si>
  <si>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</si>
  <si>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</si>
  <si>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</si>
  <si>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</si>
  <si>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</si>
  <si>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</si>
  <si>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</si>
  <si>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</si>
  <si>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</si>
  <si>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</si>
  <si>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</si>
  <si>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</si>
  <si>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</si>
  <si>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</si>
  <si>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</si>
  <si>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</si>
  <si>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</si>
  <si>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</si>
  <si>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</si>
  <si>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</si>
  <si>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</si>
  <si>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</si>
  <si>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</si>
  <si>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</si>
  <si>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</si>
  <si>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</si>
  <si>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</si>
  <si>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</si>
  <si>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</si>
  <si>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</si>
  <si>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</si>
  <si>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</si>
  <si>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</si>
  <si>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</si>
  <si>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</si>
  <si>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</si>
  <si>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</si>
  <si>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</si>
  <si>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</si>
  <si>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</si>
  <si>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</si>
  <si>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</si>
  <si>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</si>
  <si>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</si>
  <si>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</si>
  <si>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</si>
  <si>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</si>
  <si>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</si>
  <si>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</si>
  <si>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</si>
  <si>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</si>
  <si>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</si>
  <si>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</si>
  <si>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</si>
  <si>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</si>
  <si>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</si>
  <si>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</si>
  <si>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</si>
  <si>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</si>
  <si>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</si>
  <si>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</si>
  <si>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</si>
  <si>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</si>
  <si>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</si>
  <si>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</si>
  <si>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</si>
  <si>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</si>
  <si>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</si>
  <si>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</si>
  <si>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</si>
  <si>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</si>
  <si>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</si>
  <si>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</si>
  <si>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</si>
  <si>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</si>
  <si>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</si>
  <si>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</si>
  <si>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</si>
  <si>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</si>
  <si>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</si>
  <si>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</si>
  <si>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</si>
  <si>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</si>
  <si>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</si>
  <si>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</si>
  <si>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</si>
  <si>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</si>
  <si>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</si>
  <si>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</si>
  <si>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</si>
  <si>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</si>
  <si>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</si>
  <si>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</si>
  <si>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</si>
  <si>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</si>
  <si>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</si>
  <si>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</si>
  <si>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</si>
  <si>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</si>
  <si>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</si>
  <si>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</si>
  <si>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</si>
  <si>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</si>
  <si>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</si>
  <si>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</si>
  <si>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</si>
  <si>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</si>
  <si>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</si>
  <si>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</si>
  <si>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</si>
  <si>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</si>
  <si>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</si>
  <si>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</si>
  <si>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</si>
  <si>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</si>
  <si>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</si>
  <si>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</si>
  <si>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</si>
  <si>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</si>
  <si>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</si>
  <si>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</si>
  <si>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</si>
  <si>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</si>
  <si>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</si>
  <si>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</si>
  <si>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</si>
  <si>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</si>
  <si>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</si>
  <si>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</si>
  <si>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</si>
  <si>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</si>
  <si>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</si>
  <si>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</si>
  <si>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</si>
  <si>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</si>
  <si>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</si>
  <si>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</si>
  <si>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</si>
  <si>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</si>
  <si>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</si>
  <si>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</si>
  <si>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</si>
  <si>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</si>
  <si>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</si>
  <si>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</si>
  <si>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</si>
  <si>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</si>
  <si>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</si>
  <si>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</si>
  <si>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</si>
  <si>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</si>
  <si>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</si>
  <si>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</si>
  <si>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</si>
  <si>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</si>
  <si>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</si>
  <si>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</si>
  <si>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</si>
  <si>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</si>
  <si>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</si>
  <si>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</si>
  <si>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</si>
  <si>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</si>
  <si>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</si>
  <si>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</si>
  <si>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</si>
  <si>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</si>
  <si>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</si>
  <si>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</si>
  <si>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</si>
  <si>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</si>
  <si>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</si>
  <si>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</si>
  <si>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</si>
  <si>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</si>
  <si>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</si>
  <si>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</si>
  <si>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</si>
  <si>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</si>
  <si>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</si>
  <si>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</si>
  <si>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</si>
  <si>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</si>
  <si>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</si>
  <si>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</si>
  <si>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</si>
  <si>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</si>
  <si>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</si>
  <si>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</si>
  <si>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</si>
  <si>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</si>
  <si>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</si>
  <si>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</si>
  <si>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</si>
  <si>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</si>
  <si>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</si>
  <si>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</si>
  <si>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</si>
  <si>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</si>
  <si>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</si>
  <si>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</si>
  <si>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</si>
  <si>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</si>
  <si>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</si>
  <si>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</si>
  <si>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</si>
  <si>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</si>
  <si>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</si>
  <si>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</si>
  <si>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</si>
  <si>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</si>
  <si>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</si>
  <si>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</si>
  <si>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</si>
  <si>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</si>
  <si>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>Note</t>
  </si>
  <si>
    <t>Image</t>
  </si>
  <si>
    <t>Link</t>
  </si>
  <si>
    <t xml:space="preserve">  Day 1: Hanoi • Tokyo • Odaiba Sunset</t>
  </si>
  <si>
    <t>00:55 - 08:00</t>
  </si>
  <si>
    <t>On Flight</t>
  </si>
  <si>
    <t>Depart HAN on flight VJ 932 to NRT</t>
  </si>
  <si>
    <t>08:00 - 11:00</t>
  </si>
  <si>
    <t>Send Luggage</t>
  </si>
  <si>
    <t>Yamato Transport on Terminal 2, 3rd Floor</t>
  </si>
  <si>
    <t>https://www.kuronekoyamato.co.jp/ytc/en/send/services/airport/narita2_send.html</t>
  </si>
  <si>
    <t>11:00 - 12:00</t>
  </si>
  <si>
    <t>Airport Transfer</t>
  </si>
  <si>
    <t>Transfer from Narita to Tokyo via Keisei Skyliner / Train</t>
  </si>
  <si>
    <t>Airbnb</t>
  </si>
  <si>
    <t>1_day1_airbnb.png</t>
  </si>
  <si>
    <t>https://maps.app.goo.gl/DBmdvffro3LetJej6</t>
  </si>
  <si>
    <t>12:00 - 13:00</t>
  </si>
  <si>
    <t>Lunch</t>
  </si>
  <si>
    <t xml:space="preserve">Enjoy Japanese curry </t>
  </si>
  <si>
    <t>CoCo Ichibanya</t>
  </si>
  <si>
    <t>1_day1_curryhouse.png</t>
  </si>
  <si>
    <t>https://maps.app.goo.gl/QUZeFor2cqwbRkzj7</t>
  </si>
  <si>
    <t>13:00 - 14:00</t>
  </si>
  <si>
    <t>Check-in</t>
  </si>
  <si>
    <t>Airbnb Check in at 6-chōme-12-1 Ōmorikita エルメゾン大森203, Ota City, Tokyo</t>
  </si>
  <si>
    <t>14:00 - 16:30</t>
  </si>
  <si>
    <t>Miraikan Museum</t>
  </si>
  <si>
    <t>Visit National Museum of Emerging Science and Innovation</t>
  </si>
  <si>
    <t>Miraikan</t>
  </si>
  <si>
    <t>1_day1_miraikan.png</t>
  </si>
  <si>
    <t>https://maps.app.goo.gl/BmYZxEzfSyLjgQyp9</t>
  </si>
  <si>
    <t>16:30 - 17:30</t>
  </si>
  <si>
    <t>Odaiba Sunset</t>
  </si>
  <si>
    <t>Sunset stroll at Odaiba Seaside Park; Admire Rainbow Bridge and Tokyo Bay skyline.</t>
  </si>
  <si>
    <t>Sunset point</t>
  </si>
  <si>
    <t>1_day1_odaibapark.png</t>
  </si>
  <si>
    <t>https://maps.app.goo.gl/t1SnqWYUNsLD9mvk7</t>
  </si>
  <si>
    <t>18:00 - 20:00</t>
  </si>
  <si>
    <t>Dinner</t>
  </si>
  <si>
    <t>Traditional Tokyo Monjayaki dinner</t>
  </si>
  <si>
    <t>1_day1_monja.png</t>
  </si>
  <si>
    <t>Evening</t>
  </si>
  <si>
    <t>Night at Tokyo and Return hotel to rest</t>
  </si>
  <si>
    <t xml:space="preserve">  Day 2: Tokyo DisneySea</t>
  </si>
  <si>
    <t>08:00 - 09:00</t>
  </si>
  <si>
    <t>Transfer to Disney</t>
  </si>
  <si>
    <t>Tokyo DisneySea</t>
  </si>
  <si>
    <t>https://maps.app.goo.gl/mFXM4V9B9K4DBWVz8</t>
  </si>
  <si>
    <t>09:00 - 16:00</t>
  </si>
  <si>
    <t>Full day exploring themed ports: Mediterranean Harbor, Mysterious Island, Arabian Coast &amp; thrilling attractions. Lunch inside park.</t>
  </si>
  <si>
    <t>17:00 - 21:00</t>
  </si>
  <si>
    <t>Fresh sushi dinner at Sushiro</t>
  </si>
  <si>
    <t>Omorikita branch</t>
  </si>
  <si>
    <t>https://share.google/glhiHLvLUNFKbIXOL</t>
  </si>
  <si>
    <t xml:space="preserve">  Day 3: Mount Fuji • Oshino Hakkai • Lake Kawaguchiko</t>
  </si>
  <si>
    <t>06:00 - 08:00</t>
  </si>
  <si>
    <t>Depart for Mt. Fuji</t>
  </si>
  <si>
    <t>Check out hotel; Transfer from Tokyo toward Fuji Mount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</si>
  <si>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</si>
  <si>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</si>
  <si>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</si>
  <si>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</si>
  <si>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</si>
  <si>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https://share.google/07foiHP82iKKrDXLN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</si>
  <si>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</si>
  <si>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</si>
  <si>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</si>
  <si>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</si>
  <si>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</si>
  <si>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</si>
  <si>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 xml:space="preserve"> Fuji Kawaguchiko Resort Hotel</t>
  </si>
  <si>
    <t>https://share.google/HkyzWgzwgKD1EYvWY</t>
  </si>
  <si>
    <t>Charcoal-grilled BBQ/ Yakitori dinner at Sanrokuen.</t>
  </si>
  <si>
    <t>tiktok.com/@wethecurioustravelers/video/7350291288496901394?is_from_webapp=1&amp;sender_device=pc&amp;web_id=7410061434220971537</t>
  </si>
  <si>
    <t xml:space="preserve">  Day 4: Kawaguchiko • Matsumoto City</t>
  </si>
  <si>
    <t>08:00 - 11:30</t>
  </si>
  <si>
    <t>Lakeside Cycling</t>
  </si>
  <si>
    <t>11:30 - 13:00</t>
  </si>
  <si>
    <t>13:30 - 16:30</t>
  </si>
  <si>
    <t>Transfer to Matsumoto</t>
  </si>
  <si>
    <t>Scenic transfer by express bus / JR train from Kawaguchiko Station to Matsumoto (Nagano).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</si>
  <si>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</si>
  <si>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</si>
  <si>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</si>
  <si>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</si>
  <si>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</si>
  <si>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</si>
  <si>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</si>
  <si>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</si>
  <si>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</si>
  <si>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</si>
  <si>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</si>
  <si>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</si>
  <si>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</si>
  <si>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</si>
  <si>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</si>
  <si>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</si>
  <si>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</si>
  <si>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</si>
  <si>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</si>
  <si>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</si>
  <si>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</si>
  <si>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</si>
  <si>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</si>
  <si>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</si>
  <si>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</si>
  <si>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</si>
  <si>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Kyoto style Udon noodles &amp; sweets at Ogura Cha-Ya.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</si>
  <si>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</si>
  <si>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</si>
  <si>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</si>
  <si>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</si>
  <si>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</si>
  <si>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</si>
  <si>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</si>
  <si>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</si>
  <si>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</si>
  <si>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</si>
  <si>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</si>
  <si>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</si>
  <si>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</si>
  <si>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</si>
  <si>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</si>
  <si>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</si>
  <si>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</si>
  <si>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</si>
  <si>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</si>
  <si>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</si>
  <si>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</si>
  <si>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</si>
  <si>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</si>
  <si>
    <t>https://maps.app.goo.gl/WVra6VVmUsb8rW6e6</t>
  </si>
  <si>
    <t>https://share.google/xqkzBGgDAv8kRgixy</t>
  </si>
  <si>
    <t>https://maps.app.goo.gl/NUq4LMixjLGYXGEt7</t>
  </si>
  <si>
    <t>Route</t>
  </si>
  <si>
    <t>Koushuya</t>
  </si>
  <si>
    <t>Transfer from Airbnb to Tokyo DisneySea</t>
  </si>
  <si>
    <t>Huto Noodle Restaurant</t>
  </si>
  <si>
    <t>Yakitori Sanrokuen</t>
  </si>
  <si>
    <t>Café</t>
  </si>
  <si>
    <t>Hotel</t>
  </si>
  <si>
    <t>Hamburger Steak</t>
  </si>
  <si>
    <t>https://maps.app.goo.gl/KDWpc4to69uYDtj87</t>
  </si>
  <si>
    <t>https://maps.app.goo.gl/rQZP4NnC7MZ1EG6X8</t>
  </si>
  <si>
    <t>Morning bike tour around Lake Kawaguchiko; Lakeside coffee break (Choose: The Park Cafe / Lake Bake).</t>
  </si>
  <si>
    <t>Choose: Crispy Tonkatsu / Tempura at Fuji Tempura Idaten (or Beef at Koushuya).</t>
  </si>
  <si>
    <t>Check in Toyoko Inn Matsumoto Station Higashiguchi.</t>
  </si>
  <si>
    <t>Depart Matsumoto Bus Terminal via scenic alpine bus to Kamikochi (Nakanoyu Shop)</t>
  </si>
  <si>
    <t>https://maps.app.goo.gl/Shs2CW2xCxpwiqqY6</t>
  </si>
  <si>
    <t>Horumon Ya Kaishu</t>
  </si>
  <si>
    <t>https://maps.app.goo.gl/mHyBFMSJhLKhSmuSA</t>
  </si>
  <si>
    <t>Kobayashi soba</t>
  </si>
  <si>
    <t>https://maps.app.goo.gl/N67EMhP435f74TKF6</t>
  </si>
  <si>
    <t>https://maps.app.goo.gl/nesRwvcHFTVAvsaB7</t>
  </si>
  <si>
    <t>Kiori Exec Gojo Kyoto</t>
  </si>
  <si>
    <t>21:00</t>
  </si>
  <si>
    <t>2_day2_disney.png</t>
  </si>
  <si>
    <t>2_day2_sushiro.png</t>
  </si>
  <si>
    <t>4_day4_food.png</t>
  </si>
  <si>
    <t>4_day4_hotel.png</t>
  </si>
  <si>
    <t>5_day5_kamikochi.png</t>
  </si>
  <si>
    <t>5_day5_nakanoyu.png</t>
  </si>
  <si>
    <t>3_day3_hotel.png</t>
  </si>
  <si>
    <t>3_day3_food.png</t>
  </si>
  <si>
    <t>3_day3_oshino.png</t>
  </si>
  <si>
    <t>4_day4_lake bake.png</t>
  </si>
  <si>
    <t>4_day4_koshuya.png</t>
  </si>
  <si>
    <t>6_day6_soba.png</t>
  </si>
  <si>
    <t>6_day6_hotel.png</t>
  </si>
  <si>
    <t>6_day6_travel.png</t>
  </si>
  <si>
    <t>6_day6_museum.png</t>
  </si>
  <si>
    <t>7_day7_bamboo.png</t>
  </si>
  <si>
    <t>7_day7_train.png</t>
  </si>
  <si>
    <t>7_day7_pizza.png</t>
  </si>
  <si>
    <t>8_day8_gion.png</t>
  </si>
  <si>
    <t>8_day8_unagi.png</t>
  </si>
  <si>
    <t>8_day8_nara.png</t>
  </si>
  <si>
    <t>Kyoto farewell dinner &amp; traditional Matcha souvenir shopping. Dinner at Sukiya</t>
  </si>
  <si>
    <t>https://maps.app.goo.gl/1e471XSYSH6i2k5x8</t>
  </si>
  <si>
    <t>Boat Rental Boarding</t>
  </si>
  <si>
    <t>Morning stroll in Bamboo Grove &amp; visit moss temple Otagi Nenbutsu-ji.</t>
  </si>
  <si>
    <t>Hozu River scenic boat tour</t>
  </si>
  <si>
    <t>Bamboo Grove</t>
  </si>
  <si>
    <t>https://maps.app.goo.gl/roLsEvwaGtW57c5x5</t>
  </si>
  <si>
    <t>https://maps.app.goo.gl/dFzWPyLP4fn9B2ZR6</t>
  </si>
  <si>
    <t>Pizza Restaurant</t>
  </si>
  <si>
    <t>https://maps.app.goo.gl/3M4ACDEmUwSknxXW6</t>
  </si>
  <si>
    <t>Unagi Restaurant</t>
  </si>
  <si>
    <t>https://maps.app.goo.gl/jNcHH5W7jbrYFafF6</t>
  </si>
  <si>
    <t>Nara Park</t>
  </si>
  <si>
    <t>Gion Starbucks</t>
  </si>
  <si>
    <t>https://maps.app.goo.gl/Lcn3t16zCf3ddAAF6</t>
  </si>
  <si>
    <t>Scenic Boat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</si>
</sst>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123056"/>
      <name val="Aptos Narrow"/>
      <scheme val="minor"/>
    </font>
    <font>
      <sz val="11"/>
      <color rgb="FF333333"/>
      <name val="Aptos Narrow"/>
      <scheme val="minor"/>
    </font>
    <font>
      <sz val="11"/>
      <color rgb="FF222222"/>
      <name val="Aptos Narrow"/>
      <scheme val="minor"/>
    </font>
    <font>
      <sz val="11"/>
      <color theme="0"/>
      <name val="Aptos Narrow"/>
      <scheme val="minor"/>
    </font>
    <font>
      <sz val="11"/>
      <color rgb="FF222222"/>
      <name val="Aptos Narrow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65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3" fillId="11" borderId="6" xfId="0" applyFont="1" applyFill="1" applyBorder="1"/>
    <xf numFmtId="0" fontId="28" fillId="10" borderId="6" xfId="0" applyFont="1" applyFill="1" applyBorder="1"/>
    <xf numFmtId="0" fontId="28" fillId="0" borderId="6" xfId="0" applyFont="1" applyBorder="1"/>
    <xf numFmtId="0" fontId="31" fillId="8" borderId="6" xfId="0" applyFont="1" applyFill="1" applyBorder="1" applyAlignment="1">
      <alignment horizontal="center" vertical="center" wrapText="1"/>
    </xf>
    <xf numFmtId="0" fontId="30" fillId="8" borderId="6" xfId="0" applyFont="1" applyFill="1" applyBorder="1" applyAlignment="1">
      <alignment horizontal="left" vertical="center" wrapText="1"/>
    </xf>
    <xf numFmtId="0" fontId="32" fillId="8" borderId="6" xfId="0" applyFont="1" applyFill="1" applyBorder="1" applyAlignment="1">
      <alignment horizontal="left" vertical="center" wrapText="1"/>
    </xf>
    <xf numFmtId="0" fontId="31" fillId="9" borderId="6" xfId="0" applyFont="1" applyFill="1" applyBorder="1" applyAlignment="1">
      <alignment horizontal="center" vertical="center" wrapText="1"/>
    </xf>
    <xf numFmtId="0" fontId="30" fillId="9" borderId="6" xfId="0" applyFont="1" applyFill="1" applyBorder="1" applyAlignment="1">
      <alignment horizontal="left" vertical="center" wrapText="1"/>
    </xf>
    <xf numFmtId="0" fontId="32" fillId="9" borderId="6" xfId="0" applyFont="1" applyFill="1" applyBorder="1" applyAlignment="1">
      <alignment horizontal="left" vertical="center" wrapText="1"/>
    </xf>
    <xf numFmtId="0" fontId="2" fillId="0" borderId="6" xfId="2" applyBorder="1"/>
    <xf numFmtId="0" fontId="34" fillId="0" borderId="6" xfId="0" applyFont="1" applyBorder="1"/>
    <xf numFmtId="20" fontId="31" fillId="8" borderId="6" xfId="0" applyNumberFormat="1" applyFont="1" applyFill="1" applyBorder="1" applyAlignment="1">
      <alignment horizontal="center" vertical="center" wrapText="1"/>
    </xf>
    <xf numFmtId="0" fontId="31" fillId="8" borderId="6" xfId="0" quotePrefix="1" applyFont="1" applyFill="1" applyBorder="1" applyAlignment="1">
      <alignment horizontal="center" vertical="center" wrapText="1"/>
    </xf>
    <xf numFmtId="0" fontId="32" fillId="8" borderId="6" xfId="0" applyFont="1" applyFill="1" applyBorder="1" applyAlignment="1">
      <alignment horizontal="left" vertical="center"/>
    </xf>
    <xf numFmtId="0" fontId="32" fillId="9" borderId="6" xfId="0" applyFont="1" applyFill="1" applyBorder="1" applyAlignment="1">
      <alignment horizontal="left" vertical="center"/>
    </xf>
    <xf numFmtId="0" fontId="2" fillId="0" borderId="0" xfId="2" applyAlignment="1"/>
    <xf numFmtId="0" fontId="30" fillId="7" borderId="6" xfId="0" applyFont="1" applyFill="1" applyBorder="1" applyAlignment="1">
      <alignment horizontal="left" vertical="center"/>
    </xf>
    <xf numFmtId="0" fontId="28" fillId="0" borderId="6" xfId="0" applyFont="1" applyBorder="1"/>
    <xf numFmtId="0" fontId="30" fillId="10" borderId="6" xfId="0" applyFont="1" applyFill="1" applyBorder="1" applyAlignment="1">
      <alignment horizontal="left" vertical="center"/>
    </xf>
    <xf numFmtId="0" fontId="28" fillId="10" borderId="6" xfId="0" applyFont="1" applyFill="1" applyBorder="1"/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</cellXfs>
  <cellStyles count="3">
    <cellStyle name="Comma" xfId="1" builtinId="3"/>
    <cellStyle name="Hyperlink" xfId="2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:i:/g/personal/minhpq_bsc_com_vn/IQAXPBG9UnBwTpQs2Cy7dpXpAc6j4EmwAca4CHmqqL26Ypo?e=0im2m3" TargetMode="External"/><Relationship Id="rId18" Type="http://schemas.openxmlformats.org/officeDocument/2006/relationships/hyperlink" Target="../../../../../:i:/g/personal/minhpq_bsc_com_vn/IQB4flsAI45cT5GSnsKF_MDyATLDL6sOsro-94ct9itxw2E?e=EcabOO" TargetMode="External"/><Relationship Id="rId26" Type="http://schemas.openxmlformats.org/officeDocument/2006/relationships/hyperlink" Target="../../../../../:i:/g/personal/minhpq_bsc_com_vn/IQCreXQiRgOFS7ggHlFNPGp-AWqnApOir01Hof4dqpVIekQ?e=mUwQxU" TargetMode="External"/><Relationship Id="rId3" Type="http://schemas.openxmlformats.org/officeDocument/2006/relationships/hyperlink" Target="https://maps.app.goo.gl/t1SnqWYUNsLD9mvk7" TargetMode="External"/><Relationship Id="rId21" Type="http://schemas.openxmlformats.org/officeDocument/2006/relationships/hyperlink" Target="../../../../../:i:/g/personal/minhpq_bsc_com_vn/IQBfyu8zoXY_S5rF3ovv-j0hAS_Dfy_5GKsvUkE7i_A5ifY?e=h7e9ry" TargetMode="External"/><Relationship Id="rId34" Type="http://schemas.openxmlformats.org/officeDocument/2006/relationships/hyperlink" Target="../../../../../:i:/g/personal/minhpq_bsc_com_vn/IQDN3mn-pXumRq_7HUsZQPoOAT__vEn4Yk9Nx376hc7c1J0?e=uP0ehC" TargetMode="External"/><Relationship Id="rId7" Type="http://schemas.openxmlformats.org/officeDocument/2006/relationships/hyperlink" Target="https://share.google/HkyzWgzwgKD1EYvWY" TargetMode="External"/><Relationship Id="rId12" Type="http://schemas.openxmlformats.org/officeDocument/2006/relationships/hyperlink" Target="../../../../../:i:/g/personal/minhpq_bsc_com_vn/IQBp3M4_NE2ZSqD9q9pU2peIAbbcnde8yXTFMnIdHEkDNfY?e=azQcmM" TargetMode="External"/><Relationship Id="rId17" Type="http://schemas.openxmlformats.org/officeDocument/2006/relationships/hyperlink" Target="../../../../../:i:/g/personal/minhpq_bsc_com_vn/IQASN3PAbS_HQIQR0_FD5n1SAYmOugjFcG6-uReJwtgcCYE?e=rWuANF" TargetMode="External"/><Relationship Id="rId25" Type="http://schemas.openxmlformats.org/officeDocument/2006/relationships/hyperlink" Target="../../../../../:i:/g/personal/minhpq_bsc_com_vn/IQBglvt4QjBBQajia7NdromiAQo2Yakgyt_EjAYVvmRmn4E?e=eE8Exg" TargetMode="External"/><Relationship Id="rId33" Type="http://schemas.openxmlformats.org/officeDocument/2006/relationships/hyperlink" Target="../../../../../:i:/g/personal/minhpq_bsc_com_vn/IQBbK0oEKOLiS6e6S3WODu0YAcall48pO6VlsUn_tzRXYBo?e=kR4APw" TargetMode="External"/><Relationship Id="rId2" Type="http://schemas.openxmlformats.org/officeDocument/2006/relationships/hyperlink" Target="https://maps.app.goo.gl/BmYZxEzfSyLjgQyp9" TargetMode="External"/><Relationship Id="rId16" Type="http://schemas.openxmlformats.org/officeDocument/2006/relationships/hyperlink" Target="../../../../../:i:/r/personal/minhpq_bsc_com_vn/Documents/09_CODER/00_travel-app/2_day2_sushiro.png?d=wb0250abb38c644958a658f4efc667c78&amp;csf=1&amp;web=1&amp;e=sTFbPf" TargetMode="External"/><Relationship Id="rId20" Type="http://schemas.openxmlformats.org/officeDocument/2006/relationships/hyperlink" Target="../../../../../:i:/g/personal/minhpq_bsc_com_vn/IQDF_KiPSjFrR7ZlWEvC0H4SAb_fZExec5v9qbF93OoLF24?e=z1Dw9D" TargetMode="External"/><Relationship Id="rId29" Type="http://schemas.openxmlformats.org/officeDocument/2006/relationships/hyperlink" Target="../../../../../:i:/g/personal/minhpq_bsc_com_vn/IQBvxNjcSnLqT7jKgOPhtaV8AWmmNNqk6oh9a1lt8vbQuno?e=btuKan" TargetMode="External"/><Relationship Id="rId1" Type="http://schemas.openxmlformats.org/officeDocument/2006/relationships/hyperlink" Target="https://www.kuronekoyamato.co.jp/ytc/en/send/services/airport/narita2_send.html" TargetMode="External"/><Relationship Id="rId6" Type="http://schemas.openxmlformats.org/officeDocument/2006/relationships/hyperlink" Target="https://share.google/07foiHP82iKKrDXLN" TargetMode="External"/><Relationship Id="rId11" Type="http://schemas.openxmlformats.org/officeDocument/2006/relationships/hyperlink" Target="../../../../../:i:/g/personal/minhpq_bsc_com_vn/IQBD7wUT2k48SJvkY0upbYohAdgDcb1iOTuvIsmrngBhf7A?e=VOHk4h" TargetMode="External"/><Relationship Id="rId24" Type="http://schemas.openxmlformats.org/officeDocument/2006/relationships/hyperlink" Target="../../../../../:i:/g/personal/minhpq_bsc_com_vn/IQBtCFI7kvt6S4y0muApJt5iAVkKRs1rJwS249vVPd4-ruQ?e=fAZj4X" TargetMode="External"/><Relationship Id="rId32" Type="http://schemas.openxmlformats.org/officeDocument/2006/relationships/hyperlink" Target="../../../../../:i:/g/personal/minhpq_bsc_com_vn/IQBFE0qgiEGLT4MoTK3gdmuTASMCfsn-oI0Q48ttZEdKGy8?e=bIP6eJ" TargetMode="External"/><Relationship Id="rId5" Type="http://schemas.openxmlformats.org/officeDocument/2006/relationships/hyperlink" Target="https://share.google/glhiHLvLUNFKbIXOL" TargetMode="External"/><Relationship Id="rId15" Type="http://schemas.openxmlformats.org/officeDocument/2006/relationships/hyperlink" Target="../../../../../:i:/r/personal/minhpq_bsc_com_vn/Documents/09_CODER/00_travel-app/2_day2_disney.png?d=wc296c5a87d344b5b919adbf3ef69f77b&amp;csf=1&amp;web=1&amp;e=W92T7o" TargetMode="External"/><Relationship Id="rId23" Type="http://schemas.openxmlformats.org/officeDocument/2006/relationships/hyperlink" Target="../../../../../:i:/g/personal/minhpq_bsc_com_vn/IQDgLzikkDBqRLl3xapqOwDcATte0JTl3J8WdYBzek6Tw7Q?e=Uq0g0C" TargetMode="External"/><Relationship Id="rId28" Type="http://schemas.openxmlformats.org/officeDocument/2006/relationships/hyperlink" Target="../../../../../:i:/g/personal/minhpq_bsc_com_vn/IQAi5aJIKv75Q5U5vm6kHBDjARkqNOrYQa7d-mPqOmt_l9M?e=odHoQX" TargetMode="External"/><Relationship Id="rId36" Type="http://schemas.openxmlformats.org/officeDocument/2006/relationships/printerSettings" Target="../printerSettings/printerSettings3.bin"/><Relationship Id="rId10" Type="http://schemas.openxmlformats.org/officeDocument/2006/relationships/hyperlink" Target="../../../../../:i:/g/personal/minhpq_bsc_com_vn/IQAC_NSwxobKRaxlekq1zfS7AT8vNsxlweNx7X9ARb_4rxc?e=eBPDh3" TargetMode="External"/><Relationship Id="rId19" Type="http://schemas.openxmlformats.org/officeDocument/2006/relationships/hyperlink" Target="../../../../../:i:/g/personal/minhpq_bsc_com_vn/IQDVbhGnxaZFTrkivsTz8W1bAasMUv2Dp_DAc_5yASeD4jc?e=Yzxj9t" TargetMode="External"/><Relationship Id="rId31" Type="http://schemas.openxmlformats.org/officeDocument/2006/relationships/hyperlink" Target="../../../../../:i:/g/personal/minhpq_bsc_com_vn/IQBuagFda6KEQLdJQxAPyzQIAXHRwhrheicUfs557gRiOdY?e=LeZ2a1" TargetMode="External"/><Relationship Id="rId4" Type="http://schemas.openxmlformats.org/officeDocument/2006/relationships/hyperlink" Target="https://maps.app.goo.gl/mFXM4V9B9K4DBWVz8" TargetMode="External"/><Relationship Id="rId9" Type="http://schemas.openxmlformats.org/officeDocument/2006/relationships/hyperlink" Target="https://maps.app.goo.gl/QUZeFor2cqwbRkzj7" TargetMode="External"/><Relationship Id="rId14" Type="http://schemas.openxmlformats.org/officeDocument/2006/relationships/hyperlink" Target="../../../../../:i:/g/personal/minhpq_bsc_com_vn/IQBRUb7lv3OXQKmQhgxjWPieAVVa-oUibISNnQYhKMhKaM4?e=PIYFF1" TargetMode="External"/><Relationship Id="rId22" Type="http://schemas.openxmlformats.org/officeDocument/2006/relationships/hyperlink" Target="../../../../../:i:/g/personal/minhpq_bsc_com_vn/IQBeIlMjtNl0So0gL7wAUJ8RAYxZvAF52IWD65LYwj9HdDg?e=Mgw4oP" TargetMode="External"/><Relationship Id="rId27" Type="http://schemas.openxmlformats.org/officeDocument/2006/relationships/hyperlink" Target="../../../../../:i:/g/personal/minhpq_bsc_com_vn/IQAO8_8SJog3Q4lH799OHOszARpKVXVJW3V-h72xMUw-LtY?e=fHJkTy" TargetMode="External"/><Relationship Id="rId30" Type="http://schemas.openxmlformats.org/officeDocument/2006/relationships/hyperlink" Target="../../../../../:i:/g/personal/minhpq_bsc_com_vn/IQAB-UbxLXE3QalHQcXGuVhMAY7ZhR4RXior7Gu8u3jicQ4?e=iFyZcH" TargetMode="External"/><Relationship Id="rId35" Type="http://schemas.openxmlformats.org/officeDocument/2006/relationships/hyperlink" Target="../../../../../:i:/g/personal/minhpq_bsc_com_vn/IQCMDsm-cXytSrMd_2AsKK9rAexWEsufMEj4eRK-hf43jbY?e=p9lxX0" TargetMode="External"/><Relationship Id="rId8" Type="http://schemas.openxmlformats.org/officeDocument/2006/relationships/hyperlink" Target="https://www.tiktok.com/@wethecurioustravelers/video/7350291288496901394?is_from_webapp=1&amp;sender_device=pc&amp;web_id=74100614342209715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 x14ac:dyDescent="0.2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 x14ac:dyDescent="0.25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 x14ac:dyDescent="0.25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 x14ac:dyDescent="0.25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 x14ac:dyDescent="0.25">
      <c r="H4" s="5">
        <f t="shared" si="0"/>
        <v>0</v>
      </c>
    </row>
    <row r="5" spans="2:10" x14ac:dyDescent="0.25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 x14ac:dyDescent="0.25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 x14ac:dyDescent="0.25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 x14ac:dyDescent="0.25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 x14ac:dyDescent="0.25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 x14ac:dyDescent="0.25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 x14ac:dyDescent="0.25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 x14ac:dyDescent="0.25">
      <c r="B13" s="2" t="s">
        <v>16</v>
      </c>
    </row>
    <row r="14" spans="2:10" s="1" customFormat="1" x14ac:dyDescent="0.25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 x14ac:dyDescent="0.25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 x14ac:dyDescent="0.25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 x14ac:dyDescent="0.25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 x14ac:dyDescent="0.25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 x14ac:dyDescent="0.25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 x14ac:dyDescent="0.25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 x14ac:dyDescent="0.25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 x14ac:dyDescent="0.25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 x14ac:dyDescent="0.25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 x14ac:dyDescent="0.25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 x14ac:dyDescent="0.25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 x14ac:dyDescent="0.25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 x14ac:dyDescent="0.25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 x14ac:dyDescent="0.25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 x14ac:dyDescent="0.25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 x14ac:dyDescent="0.25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 x14ac:dyDescent="0.25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 x14ac:dyDescent="0.25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 x14ac:dyDescent="0.25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 x14ac:dyDescent="0.25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 x14ac:dyDescent="0.25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 x14ac:dyDescent="0.25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 x14ac:dyDescent="0.25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 x14ac:dyDescent="0.25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 x14ac:dyDescent="0.25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 x14ac:dyDescent="0.25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 x14ac:dyDescent="0.25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 x14ac:dyDescent="0.25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 x14ac:dyDescent="0.25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 x14ac:dyDescent="0.25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 x14ac:dyDescent="0.25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 x14ac:dyDescent="0.25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 x14ac:dyDescent="0.25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 x14ac:dyDescent="0.25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 x14ac:dyDescent="0.25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 x14ac:dyDescent="0.25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 x14ac:dyDescent="0.25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 x14ac:dyDescent="0.25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 x14ac:dyDescent="0.25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 x14ac:dyDescent="0.25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 x14ac:dyDescent="0.25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 x14ac:dyDescent="0.25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 x14ac:dyDescent="0.25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 x14ac:dyDescent="0.25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 x14ac:dyDescent="0.25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 x14ac:dyDescent="0.25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 x14ac:dyDescent="0.25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 x14ac:dyDescent="0.25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 x14ac:dyDescent="0.25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 x14ac:dyDescent="0.25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 x14ac:dyDescent="0.25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 x14ac:dyDescent="0.25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 x14ac:dyDescent="0.25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 x14ac:dyDescent="0.25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 x14ac:dyDescent="0.25">
      <c r="A54" s="35"/>
      <c r="B54" s="36"/>
      <c r="C54" s="40"/>
      <c r="D54" s="38"/>
      <c r="E54" s="39"/>
      <c r="F54" s="38"/>
      <c r="G54" s="38"/>
      <c r="H54" s="39"/>
    </row>
    <row r="55" spans="1:10" ht="15" customHeight="1" x14ac:dyDescent="0.25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 x14ac:dyDescent="0.25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 x14ac:dyDescent="0.25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 x14ac:dyDescent="0.25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 x14ac:dyDescent="0.25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 x14ac:dyDescent="0.25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 x14ac:dyDescent="0.25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 x14ac:dyDescent="0.25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 x14ac:dyDescent="0.25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 x14ac:dyDescent="0.25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 x14ac:dyDescent="0.25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 x14ac:dyDescent="0.25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 x14ac:dyDescent="0.25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 x14ac:dyDescent="0.25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 x14ac:dyDescent="0.25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 x14ac:dyDescent="0.25">
      <c r="A70" s="37"/>
      <c r="B70" s="38"/>
      <c r="C70" s="37"/>
      <c r="D70" s="38"/>
      <c r="E70" s="39"/>
      <c r="F70" s="38"/>
      <c r="G70" s="38"/>
      <c r="H70" s="38"/>
    </row>
    <row r="71" spans="1:10" ht="15" customHeight="1" x14ac:dyDescent="0.25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 x14ac:dyDescent="0.25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 x14ac:dyDescent="0.25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 x14ac:dyDescent="0.25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 x14ac:dyDescent="0.25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 x14ac:dyDescent="0.25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 x14ac:dyDescent="0.25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 x14ac:dyDescent="0.25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 x14ac:dyDescent="0.25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 x14ac:dyDescent="0.25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 x14ac:dyDescent="0.25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 x14ac:dyDescent="0.25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 x14ac:dyDescent="0.25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 x14ac:dyDescent="0.25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 x14ac:dyDescent="0.25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 x14ac:dyDescent="0.25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 x14ac:dyDescent="0.25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 x14ac:dyDescent="0.25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 x14ac:dyDescent="0.25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 x14ac:dyDescent="0.25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 x14ac:dyDescent="0.25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 x14ac:dyDescent="0.25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 x14ac:dyDescent="0.25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 x14ac:dyDescent="0.25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 x14ac:dyDescent="0.25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 x14ac:dyDescent="0.25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 x14ac:dyDescent="0.25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 x14ac:dyDescent="0.25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 x14ac:dyDescent="0.25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 x14ac:dyDescent="0.25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 x14ac:dyDescent="0.25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 x14ac:dyDescent="0.25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 x14ac:dyDescent="0.25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 x14ac:dyDescent="0.25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 x14ac:dyDescent="0.25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 x14ac:dyDescent="0.25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 x14ac:dyDescent="0.25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 x14ac:dyDescent="0.25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 x14ac:dyDescent="0.25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 x14ac:dyDescent="0.25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 x14ac:dyDescent="0.25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 x14ac:dyDescent="0.25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 x14ac:dyDescent="0.25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 x14ac:dyDescent="0.25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 x14ac:dyDescent="0.25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 x14ac:dyDescent="0.25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 x14ac:dyDescent="0.25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 x14ac:dyDescent="0.25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 x14ac:dyDescent="0.25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 x14ac:dyDescent="0.25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 x14ac:dyDescent="0.25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 x14ac:dyDescent="0.25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 x14ac:dyDescent="0.25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 x14ac:dyDescent="0.25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 x14ac:dyDescent="0.25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 x14ac:dyDescent="0.25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 x14ac:dyDescent="0.25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 x14ac:dyDescent="0.25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 x14ac:dyDescent="0.25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 x14ac:dyDescent="0.25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 x14ac:dyDescent="0.25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 x14ac:dyDescent="0.25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 x14ac:dyDescent="0.25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 x14ac:dyDescent="0.25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 x14ac:dyDescent="0.25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 x14ac:dyDescent="0.25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 x14ac:dyDescent="0.25">
      <c r="A137" s="37"/>
      <c r="B137" s="38"/>
      <c r="C137" s="257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 x14ac:dyDescent="0.25">
      <c r="A138" s="37"/>
      <c r="B138" s="38"/>
      <c r="C138" s="257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 x14ac:dyDescent="0.25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 x14ac:dyDescent="0.25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 x14ac:dyDescent="0.25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 x14ac:dyDescent="0.25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 x14ac:dyDescent="0.25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 x14ac:dyDescent="0.25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 x14ac:dyDescent="0.25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 x14ac:dyDescent="0.25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 x14ac:dyDescent="0.25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 x14ac:dyDescent="0.25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 x14ac:dyDescent="0.25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 x14ac:dyDescent="0.25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 x14ac:dyDescent="0.25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 x14ac:dyDescent="0.25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 x14ac:dyDescent="0.25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 x14ac:dyDescent="0.25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 x14ac:dyDescent="0.25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 x14ac:dyDescent="0.25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 x14ac:dyDescent="0.25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 x14ac:dyDescent="0.25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 x14ac:dyDescent="0.25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 x14ac:dyDescent="0.25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 x14ac:dyDescent="0.25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 x14ac:dyDescent="0.25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 x14ac:dyDescent="0.25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 x14ac:dyDescent="0.25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 x14ac:dyDescent="0.25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 x14ac:dyDescent="0.25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 x14ac:dyDescent="0.25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 x14ac:dyDescent="0.25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 x14ac:dyDescent="0.25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 x14ac:dyDescent="0.25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 x14ac:dyDescent="0.25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 x14ac:dyDescent="0.25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 x14ac:dyDescent="0.2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 x14ac:dyDescent="0.25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58" customFormat="1" x14ac:dyDescent="0.25">
      <c r="A2" s="258" t="s">
        <v>226</v>
      </c>
    </row>
    <row r="3" spans="1:10" x14ac:dyDescent="0.25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 x14ac:dyDescent="0.25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 x14ac:dyDescent="0.25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 x14ac:dyDescent="0.25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 x14ac:dyDescent="0.25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 x14ac:dyDescent="0.25">
      <c r="A8" s="84"/>
      <c r="B8" s="85"/>
      <c r="C8" s="259" t="s">
        <v>230</v>
      </c>
      <c r="D8" s="259"/>
      <c r="E8" s="96">
        <v>1500</v>
      </c>
      <c r="F8" s="95"/>
      <c r="G8" s="85"/>
      <c r="H8" s="96"/>
      <c r="I8" s="96"/>
      <c r="J8" s="96"/>
    </row>
    <row r="9" spans="1:10" x14ac:dyDescent="0.25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 x14ac:dyDescent="0.25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 x14ac:dyDescent="0.25">
      <c r="A11" s="259" t="s">
        <v>233</v>
      </c>
      <c r="B11" s="259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 x14ac:dyDescent="0.25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 x14ac:dyDescent="0.25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 x14ac:dyDescent="0.25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 x14ac:dyDescent="0.25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 x14ac:dyDescent="0.25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 x14ac:dyDescent="0.25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 x14ac:dyDescent="0.25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 x14ac:dyDescent="0.25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 x14ac:dyDescent="0.25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 x14ac:dyDescent="0.25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 x14ac:dyDescent="0.25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 x14ac:dyDescent="0.25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 x14ac:dyDescent="0.25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 x14ac:dyDescent="0.25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 x14ac:dyDescent="0.25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 x14ac:dyDescent="0.25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 x14ac:dyDescent="0.25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 x14ac:dyDescent="0.25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 x14ac:dyDescent="0.25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 x14ac:dyDescent="0.25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 x14ac:dyDescent="0.25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 x14ac:dyDescent="0.25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 x14ac:dyDescent="0.25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 x14ac:dyDescent="0.25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 x14ac:dyDescent="0.25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 x14ac:dyDescent="0.25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 x14ac:dyDescent="0.25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 x14ac:dyDescent="0.25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 x14ac:dyDescent="0.25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 x14ac:dyDescent="0.25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 x14ac:dyDescent="0.25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 x14ac:dyDescent="0.25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 x14ac:dyDescent="0.25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 x14ac:dyDescent="0.25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 x14ac:dyDescent="0.25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 x14ac:dyDescent="0.25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 x14ac:dyDescent="0.25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 x14ac:dyDescent="0.25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 x14ac:dyDescent="0.25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 x14ac:dyDescent="0.25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 x14ac:dyDescent="0.25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 x14ac:dyDescent="0.25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 x14ac:dyDescent="0.25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 x14ac:dyDescent="0.25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 x14ac:dyDescent="0.25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 x14ac:dyDescent="0.25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 x14ac:dyDescent="0.25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 x14ac:dyDescent="0.25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 x14ac:dyDescent="0.25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 x14ac:dyDescent="0.25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 x14ac:dyDescent="0.25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 x14ac:dyDescent="0.25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 x14ac:dyDescent="0.25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 x14ac:dyDescent="0.25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 x14ac:dyDescent="0.25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 x14ac:dyDescent="0.25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 x14ac:dyDescent="0.25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 x14ac:dyDescent="0.25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 x14ac:dyDescent="0.25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 x14ac:dyDescent="0.25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 x14ac:dyDescent="0.25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 x14ac:dyDescent="0.25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 x14ac:dyDescent="0.25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 x14ac:dyDescent="0.25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 x14ac:dyDescent="0.25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 x14ac:dyDescent="0.25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 x14ac:dyDescent="0.25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 x14ac:dyDescent="0.25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 x14ac:dyDescent="0.25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 x14ac:dyDescent="0.25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 x14ac:dyDescent="0.25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 x14ac:dyDescent="0.25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 x14ac:dyDescent="0.25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 x14ac:dyDescent="0.25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 x14ac:dyDescent="0.25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 x14ac:dyDescent="0.25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 x14ac:dyDescent="0.25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 x14ac:dyDescent="0.25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 x14ac:dyDescent="0.25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 x14ac:dyDescent="0.25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 x14ac:dyDescent="0.25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 x14ac:dyDescent="0.25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 x14ac:dyDescent="0.25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 x14ac:dyDescent="0.25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 x14ac:dyDescent="0.25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 x14ac:dyDescent="0.25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 x14ac:dyDescent="0.25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 x14ac:dyDescent="0.25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 x14ac:dyDescent="0.25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 x14ac:dyDescent="0.25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 x14ac:dyDescent="0.25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 x14ac:dyDescent="0.25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 x14ac:dyDescent="0.25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 x14ac:dyDescent="0.25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 x14ac:dyDescent="0.25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 x14ac:dyDescent="0.25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 x14ac:dyDescent="0.25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 x14ac:dyDescent="0.25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 x14ac:dyDescent="0.25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 x14ac:dyDescent="0.25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 x14ac:dyDescent="0.25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 x14ac:dyDescent="0.25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 x14ac:dyDescent="0.25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 x14ac:dyDescent="0.25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 x14ac:dyDescent="0.25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 x14ac:dyDescent="0.25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 x14ac:dyDescent="0.25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 x14ac:dyDescent="0.25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 x14ac:dyDescent="0.25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 x14ac:dyDescent="0.25">
      <c r="E121" s="169" t="s">
        <v>320</v>
      </c>
      <c r="H121" s="169">
        <f>SUMIF($I$3:$I$117,"DC",$H$3:$H$117)/2</f>
        <v>15755180</v>
      </c>
    </row>
    <row r="122" spans="1:10" x14ac:dyDescent="0.25">
      <c r="E122" s="233" t="s">
        <v>321</v>
      </c>
      <c r="H122" s="169">
        <f>H121-H13/2</f>
        <v>7438180</v>
      </c>
    </row>
    <row r="123" spans="1:10" x14ac:dyDescent="0.25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 x14ac:dyDescent="0.2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 x14ac:dyDescent="0.25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58" customFormat="1" x14ac:dyDescent="0.25">
      <c r="A2" s="258" t="s">
        <v>226</v>
      </c>
    </row>
    <row r="3" spans="1:12" x14ac:dyDescent="0.25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 x14ac:dyDescent="0.25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 x14ac:dyDescent="0.25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 x14ac:dyDescent="0.25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 x14ac:dyDescent="0.25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 x14ac:dyDescent="0.25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 x14ac:dyDescent="0.25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 x14ac:dyDescent="0.25">
      <c r="A10" s="84"/>
      <c r="B10" s="85"/>
      <c r="C10" s="259" t="s">
        <v>25</v>
      </c>
      <c r="D10" s="259"/>
      <c r="E10" s="96">
        <v>3000</v>
      </c>
      <c r="F10" s="95"/>
      <c r="G10" s="85"/>
      <c r="H10" s="96"/>
      <c r="I10" s="96"/>
      <c r="J10" s="96"/>
    </row>
    <row r="11" spans="1:12" x14ac:dyDescent="0.25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 x14ac:dyDescent="0.25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 x14ac:dyDescent="0.25">
      <c r="A13" s="259" t="s">
        <v>233</v>
      </c>
      <c r="B13" s="259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 x14ac:dyDescent="0.25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 x14ac:dyDescent="0.25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 x14ac:dyDescent="0.25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 x14ac:dyDescent="0.25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 x14ac:dyDescent="0.25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 x14ac:dyDescent="0.25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 x14ac:dyDescent="0.25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 x14ac:dyDescent="0.25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 x14ac:dyDescent="0.25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 x14ac:dyDescent="0.25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 x14ac:dyDescent="0.25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 x14ac:dyDescent="0.25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47.25" x14ac:dyDescent="0.25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 x14ac:dyDescent="0.25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 x14ac:dyDescent="0.25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 x14ac:dyDescent="0.25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 x14ac:dyDescent="0.25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 x14ac:dyDescent="0.25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 x14ac:dyDescent="0.25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 x14ac:dyDescent="0.25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 x14ac:dyDescent="0.25">
      <c r="A34" s="114"/>
      <c r="B34" s="127"/>
      <c r="C34" s="261" t="s">
        <v>338</v>
      </c>
      <c r="D34" s="261"/>
      <c r="E34" s="128"/>
      <c r="F34" s="129"/>
      <c r="G34" s="127"/>
      <c r="H34" s="128"/>
      <c r="I34" s="127"/>
      <c r="J34" s="127"/>
      <c r="K34" s="130"/>
      <c r="L34" s="130"/>
    </row>
    <row r="35" spans="1:12" x14ac:dyDescent="0.25">
      <c r="A35" s="114"/>
      <c r="B35" s="127"/>
      <c r="C35" s="262" t="s">
        <v>50</v>
      </c>
      <c r="D35" s="262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 x14ac:dyDescent="0.25">
      <c r="A36" s="100">
        <v>0.27083333333333331</v>
      </c>
      <c r="B36" s="101">
        <v>0.33333333333333331</v>
      </c>
      <c r="C36" s="264" t="s">
        <v>51</v>
      </c>
      <c r="D36" s="264"/>
      <c r="E36" s="132"/>
      <c r="F36" s="133"/>
      <c r="G36" s="134"/>
      <c r="H36" s="132"/>
      <c r="I36" s="134"/>
      <c r="J36" s="134"/>
      <c r="K36" s="126"/>
      <c r="L36" s="126"/>
    </row>
    <row r="37" spans="1:12" ht="31.5" x14ac:dyDescent="0.25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 x14ac:dyDescent="0.25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 x14ac:dyDescent="0.25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 x14ac:dyDescent="0.25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 x14ac:dyDescent="0.25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 x14ac:dyDescent="0.25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 x14ac:dyDescent="0.25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 x14ac:dyDescent="0.25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 x14ac:dyDescent="0.25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 x14ac:dyDescent="0.25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 x14ac:dyDescent="0.25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 x14ac:dyDescent="0.25">
      <c r="A48" s="114"/>
      <c r="B48" s="109"/>
      <c r="C48" s="263" t="s">
        <v>352</v>
      </c>
      <c r="D48" s="263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 x14ac:dyDescent="0.25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 x14ac:dyDescent="0.25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 x14ac:dyDescent="0.25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 x14ac:dyDescent="0.25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 x14ac:dyDescent="0.25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 x14ac:dyDescent="0.25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 x14ac:dyDescent="0.25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 x14ac:dyDescent="0.25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 x14ac:dyDescent="0.25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7.25" x14ac:dyDescent="0.25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 x14ac:dyDescent="0.25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 x14ac:dyDescent="0.25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 x14ac:dyDescent="0.25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 x14ac:dyDescent="0.25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78.75" x14ac:dyDescent="0.25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 x14ac:dyDescent="0.25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 x14ac:dyDescent="0.25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 x14ac:dyDescent="0.25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 x14ac:dyDescent="0.25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63" x14ac:dyDescent="0.25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 x14ac:dyDescent="0.25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 x14ac:dyDescent="0.25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 x14ac:dyDescent="0.25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 x14ac:dyDescent="0.25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 x14ac:dyDescent="0.25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 x14ac:dyDescent="0.25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31.5" x14ac:dyDescent="0.25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 x14ac:dyDescent="0.25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 x14ac:dyDescent="0.25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 x14ac:dyDescent="0.25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1.5" x14ac:dyDescent="0.25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 x14ac:dyDescent="0.25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 x14ac:dyDescent="0.25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 x14ac:dyDescent="0.25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 x14ac:dyDescent="0.25">
      <c r="A83" s="114"/>
      <c r="B83" s="109"/>
      <c r="C83" s="260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 x14ac:dyDescent="0.25">
      <c r="A84" s="114"/>
      <c r="B84" s="109"/>
      <c r="C84" s="260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 x14ac:dyDescent="0.25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47.25" x14ac:dyDescent="0.25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 x14ac:dyDescent="0.25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 x14ac:dyDescent="0.25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 x14ac:dyDescent="0.25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63" x14ac:dyDescent="0.25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 x14ac:dyDescent="0.25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31.5" x14ac:dyDescent="0.25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 x14ac:dyDescent="0.25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31.5" x14ac:dyDescent="0.25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 x14ac:dyDescent="0.25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 x14ac:dyDescent="0.25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 x14ac:dyDescent="0.25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 x14ac:dyDescent="0.25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 x14ac:dyDescent="0.25">
      <c r="A99" s="114"/>
      <c r="C99" s="91"/>
      <c r="D99" s="91"/>
      <c r="E99" s="91"/>
      <c r="F99" s="91"/>
      <c r="J99" s="96"/>
    </row>
    <row r="100" spans="1:12" x14ac:dyDescent="0.25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 x14ac:dyDescent="0.25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 x14ac:dyDescent="0.25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 x14ac:dyDescent="0.25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 x14ac:dyDescent="0.25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 x14ac:dyDescent="0.25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 x14ac:dyDescent="0.25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 x14ac:dyDescent="0.25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 x14ac:dyDescent="0.25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 x14ac:dyDescent="0.25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 x14ac:dyDescent="0.25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 x14ac:dyDescent="0.25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 x14ac:dyDescent="0.25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31.5" x14ac:dyDescent="0.25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1.5" x14ac:dyDescent="0.25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 x14ac:dyDescent="0.25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 x14ac:dyDescent="0.25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 x14ac:dyDescent="0.25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 x14ac:dyDescent="0.25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 x14ac:dyDescent="0.25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 x14ac:dyDescent="0.25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 x14ac:dyDescent="0.25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 x14ac:dyDescent="0.25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 x14ac:dyDescent="0.25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 x14ac:dyDescent="0.25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 x14ac:dyDescent="0.25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 x14ac:dyDescent="0.25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1.5" x14ac:dyDescent="0.25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 x14ac:dyDescent="0.25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1.5" x14ac:dyDescent="0.25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 x14ac:dyDescent="0.25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 x14ac:dyDescent="0.25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 x14ac:dyDescent="0.25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 x14ac:dyDescent="0.25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1.5" x14ac:dyDescent="0.25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 x14ac:dyDescent="0.25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1.5" x14ac:dyDescent="0.25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 x14ac:dyDescent="0.25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1.5" x14ac:dyDescent="0.25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47.25" x14ac:dyDescent="0.25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 x14ac:dyDescent="0.25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 x14ac:dyDescent="0.25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 x14ac:dyDescent="0.25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 x14ac:dyDescent="0.25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 x14ac:dyDescent="0.25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 x14ac:dyDescent="0.25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 x14ac:dyDescent="0.25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 x14ac:dyDescent="0.25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 x14ac:dyDescent="0.25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 x14ac:dyDescent="0.25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 x14ac:dyDescent="0.25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31.5" x14ac:dyDescent="0.25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 x14ac:dyDescent="0.25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 x14ac:dyDescent="0.25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 x14ac:dyDescent="0.25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 x14ac:dyDescent="0.25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 x14ac:dyDescent="0.25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 x14ac:dyDescent="0.25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 x14ac:dyDescent="0.25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 x14ac:dyDescent="0.25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 x14ac:dyDescent="0.25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 x14ac:dyDescent="0.25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 x14ac:dyDescent="0.25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 x14ac:dyDescent="0.25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 x14ac:dyDescent="0.25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 x14ac:dyDescent="0.25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 x14ac:dyDescent="0.25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F55"/>
  <sheetViews>
    <sheetView tabSelected="1" topLeftCell="A19" zoomScale="130" zoomScaleNormal="130" workbookViewId="0">
      <selection activeCell="D54" sqref="D54"/>
    </sheetView>
  </sheetViews>
  <sheetFormatPr defaultColWidth="8.85546875" defaultRowHeight="15" x14ac:dyDescent="0.25"/>
  <cols>
    <col min="1" max="1" width="18" style="216" customWidth="1"/>
    <col min="2" max="2" width="28" style="216" customWidth="1"/>
    <col min="3" max="3" width="81" style="216" customWidth="1"/>
    <col min="4" max="4" width="38" style="216" bestFit="1" customWidth="1"/>
    <col min="5" max="5" width="26.140625" style="216" customWidth="1"/>
    <col min="6" max="16384" width="8.85546875" style="216"/>
  </cols>
  <sheetData>
    <row r="1" spans="1:6" x14ac:dyDescent="0.25">
      <c r="A1" s="236" t="s">
        <v>432</v>
      </c>
      <c r="B1" s="236" t="s">
        <v>433</v>
      </c>
      <c r="C1" s="236" t="s">
        <v>434</v>
      </c>
      <c r="D1" s="236" t="s">
        <v>435</v>
      </c>
      <c r="E1" s="236" t="s">
        <v>436</v>
      </c>
      <c r="F1" s="237" t="s">
        <v>437</v>
      </c>
    </row>
    <row r="2" spans="1:6" x14ac:dyDescent="0.25">
      <c r="A2" s="255" t="s">
        <v>438</v>
      </c>
      <c r="B2" s="256"/>
      <c r="C2" s="256"/>
      <c r="D2" s="238"/>
      <c r="E2" s="238"/>
      <c r="F2" s="239"/>
    </row>
    <row r="3" spans="1:6" x14ac:dyDescent="0.25">
      <c r="A3" s="240" t="s">
        <v>439</v>
      </c>
      <c r="B3" s="241" t="s">
        <v>440</v>
      </c>
      <c r="C3" s="242" t="s">
        <v>441</v>
      </c>
      <c r="D3" s="242"/>
      <c r="E3" s="250"/>
      <c r="F3" s="239"/>
    </row>
    <row r="4" spans="1:6" ht="30" x14ac:dyDescent="0.25">
      <c r="A4" s="243" t="s">
        <v>442</v>
      </c>
      <c r="B4" s="244" t="s">
        <v>443</v>
      </c>
      <c r="C4" s="245" t="s">
        <v>443</v>
      </c>
      <c r="D4" s="245" t="s">
        <v>444</v>
      </c>
      <c r="E4" s="251"/>
      <c r="F4" s="246" t="s">
        <v>445</v>
      </c>
    </row>
    <row r="5" spans="1:6" x14ac:dyDescent="0.25">
      <c r="A5" s="240" t="s">
        <v>446</v>
      </c>
      <c r="B5" s="241" t="s">
        <v>447</v>
      </c>
      <c r="C5" s="242" t="s">
        <v>448</v>
      </c>
      <c r="D5" s="242" t="s">
        <v>449</v>
      </c>
      <c r="E5" s="252" t="s">
        <v>450</v>
      </c>
      <c r="F5" s="247" t="s">
        <v>451</v>
      </c>
    </row>
    <row r="6" spans="1:6" x14ac:dyDescent="0.25">
      <c r="A6" s="243" t="s">
        <v>452</v>
      </c>
      <c r="B6" s="244" t="s">
        <v>453</v>
      </c>
      <c r="C6" s="245" t="s">
        <v>454</v>
      </c>
      <c r="D6" s="245" t="s">
        <v>455</v>
      </c>
      <c r="E6" s="252" t="s">
        <v>456</v>
      </c>
      <c r="F6" s="246" t="s">
        <v>457</v>
      </c>
    </row>
    <row r="7" spans="1:6" x14ac:dyDescent="0.25">
      <c r="A7" s="240" t="s">
        <v>458</v>
      </c>
      <c r="B7" s="244" t="s">
        <v>459</v>
      </c>
      <c r="C7" s="245" t="s">
        <v>460</v>
      </c>
      <c r="D7" s="245"/>
      <c r="E7" s="251"/>
      <c r="F7" s="239"/>
    </row>
    <row r="8" spans="1:6" x14ac:dyDescent="0.25">
      <c r="A8" s="243" t="s">
        <v>461</v>
      </c>
      <c r="B8" s="244" t="s">
        <v>462</v>
      </c>
      <c r="C8" s="245" t="s">
        <v>463</v>
      </c>
      <c r="D8" s="245" t="s">
        <v>464</v>
      </c>
      <c r="E8" s="252" t="s">
        <v>465</v>
      </c>
      <c r="F8" s="246" t="s">
        <v>466</v>
      </c>
    </row>
    <row r="9" spans="1:6" x14ac:dyDescent="0.25">
      <c r="A9" s="240" t="s">
        <v>467</v>
      </c>
      <c r="B9" s="241" t="s">
        <v>468</v>
      </c>
      <c r="C9" s="242" t="s">
        <v>469</v>
      </c>
      <c r="D9" s="242" t="s">
        <v>470</v>
      </c>
      <c r="E9" s="252" t="s">
        <v>471</v>
      </c>
      <c r="F9" s="246" t="s">
        <v>472</v>
      </c>
    </row>
    <row r="10" spans="1:6" x14ac:dyDescent="0.25">
      <c r="A10" s="243" t="s">
        <v>473</v>
      </c>
      <c r="B10" s="244" t="s">
        <v>474</v>
      </c>
      <c r="C10" s="245" t="s">
        <v>475</v>
      </c>
      <c r="D10" s="245"/>
      <c r="E10" s="252" t="s">
        <v>476</v>
      </c>
      <c r="F10" s="239"/>
    </row>
    <row r="11" spans="1:6" x14ac:dyDescent="0.25">
      <c r="A11" s="249" t="s">
        <v>591</v>
      </c>
      <c r="B11" s="241" t="s">
        <v>477</v>
      </c>
      <c r="C11" s="242" t="s">
        <v>478</v>
      </c>
      <c r="D11" s="242"/>
      <c r="E11" s="250"/>
      <c r="F11" s="239"/>
    </row>
    <row r="12" spans="1:6" x14ac:dyDescent="0.25">
      <c r="A12" s="253" t="s">
        <v>479</v>
      </c>
      <c r="B12" s="254"/>
      <c r="C12" s="254"/>
      <c r="D12" s="239"/>
      <c r="E12" s="239"/>
      <c r="F12" s="239"/>
    </row>
    <row r="13" spans="1:6" x14ac:dyDescent="0.25">
      <c r="A13" s="240" t="s">
        <v>480</v>
      </c>
      <c r="B13" s="241" t="s">
        <v>481</v>
      </c>
      <c r="C13" s="242" t="s">
        <v>572</v>
      </c>
      <c r="D13" s="242" t="s">
        <v>482</v>
      </c>
      <c r="E13" s="8" t="s">
        <v>592</v>
      </c>
      <c r="F13" s="246" t="s">
        <v>483</v>
      </c>
    </row>
    <row r="14" spans="1:6" ht="30" x14ac:dyDescent="0.25">
      <c r="A14" s="243" t="s">
        <v>484</v>
      </c>
      <c r="B14" s="244" t="s">
        <v>482</v>
      </c>
      <c r="C14" s="245" t="s">
        <v>485</v>
      </c>
      <c r="D14" s="245"/>
      <c r="E14" s="251"/>
      <c r="F14" s="239"/>
    </row>
    <row r="15" spans="1:6" x14ac:dyDescent="0.25">
      <c r="A15" s="240" t="s">
        <v>486</v>
      </c>
      <c r="B15" s="241" t="s">
        <v>474</v>
      </c>
      <c r="C15" s="242" t="s">
        <v>487</v>
      </c>
      <c r="D15" s="242" t="s">
        <v>488</v>
      </c>
      <c r="E15" s="8" t="s">
        <v>593</v>
      </c>
      <c r="F15" s="246" t="s">
        <v>489</v>
      </c>
    </row>
    <row r="16" spans="1:6" x14ac:dyDescent="0.25">
      <c r="A16" s="248">
        <v>0.875</v>
      </c>
      <c r="B16" s="241" t="s">
        <v>477</v>
      </c>
      <c r="C16" s="242" t="s">
        <v>478</v>
      </c>
      <c r="D16" s="245"/>
      <c r="E16" s="251"/>
      <c r="F16" s="239"/>
    </row>
    <row r="17" spans="1:6" x14ac:dyDescent="0.25">
      <c r="A17" s="253" t="s">
        <v>490</v>
      </c>
      <c r="B17" s="254"/>
      <c r="C17" s="254"/>
      <c r="D17" s="239"/>
      <c r="E17" s="239"/>
      <c r="F17" s="239"/>
    </row>
    <row r="18" spans="1:6" x14ac:dyDescent="0.25">
      <c r="A18" s="240" t="s">
        <v>491</v>
      </c>
      <c r="B18" s="241" t="s">
        <v>492</v>
      </c>
      <c r="C18" s="242" t="s">
        <v>493</v>
      </c>
      <c r="D18" s="242"/>
      <c r="E18" s="250"/>
      <c r="F18" s="239"/>
    </row>
    <row r="19" spans="1:6" ht="30" x14ac:dyDescent="0.25">
      <c r="A19" s="243" t="s">
        <v>494</v>
      </c>
      <c r="B19" s="244" t="s">
        <v>495</v>
      </c>
      <c r="C19" s="245" t="s">
        <v>496</v>
      </c>
      <c r="D19" s="245"/>
      <c r="E19" s="8" t="s">
        <v>600</v>
      </c>
      <c r="F19" s="239"/>
    </row>
    <row r="20" spans="1:6" x14ac:dyDescent="0.25">
      <c r="A20" s="240" t="s">
        <v>497</v>
      </c>
      <c r="B20" s="241" t="s">
        <v>453</v>
      </c>
      <c r="C20" s="242" t="s">
        <v>498</v>
      </c>
      <c r="D20" s="242" t="s">
        <v>573</v>
      </c>
      <c r="E20" s="8" t="s">
        <v>599</v>
      </c>
      <c r="F20" s="246" t="s">
        <v>499</v>
      </c>
    </row>
    <row r="21" spans="1:6" x14ac:dyDescent="0.25">
      <c r="A21" s="243" t="s">
        <v>500</v>
      </c>
      <c r="B21" s="244" t="s">
        <v>501</v>
      </c>
      <c r="C21" s="245" t="s">
        <v>502</v>
      </c>
      <c r="D21" s="245"/>
      <c r="E21" s="251"/>
      <c r="F21" s="239"/>
    </row>
    <row r="22" spans="1:6" x14ac:dyDescent="0.25">
      <c r="A22" s="240" t="s">
        <v>503</v>
      </c>
      <c r="B22" s="241" t="s">
        <v>504</v>
      </c>
      <c r="C22" s="242" t="s">
        <v>505</v>
      </c>
      <c r="D22" s="242" t="s">
        <v>506</v>
      </c>
      <c r="E22" s="8" t="s">
        <v>598</v>
      </c>
      <c r="F22" s="246" t="s">
        <v>507</v>
      </c>
    </row>
    <row r="23" spans="1:6" x14ac:dyDescent="0.25">
      <c r="A23" s="243" t="s">
        <v>473</v>
      </c>
      <c r="B23" s="244" t="s">
        <v>474</v>
      </c>
      <c r="C23" s="245" t="s">
        <v>508</v>
      </c>
      <c r="D23" s="245" t="s">
        <v>574</v>
      </c>
      <c r="E23" s="251"/>
      <c r="F23" s="8" t="s">
        <v>509</v>
      </c>
    </row>
    <row r="24" spans="1:6" x14ac:dyDescent="0.25">
      <c r="A24" s="253" t="s">
        <v>510</v>
      </c>
      <c r="B24" s="254"/>
      <c r="C24" s="254"/>
      <c r="D24" s="239"/>
      <c r="E24" s="239"/>
      <c r="F24" s="239"/>
    </row>
    <row r="25" spans="1:6" ht="30" x14ac:dyDescent="0.25">
      <c r="A25" s="240" t="s">
        <v>511</v>
      </c>
      <c r="B25" s="241" t="s">
        <v>512</v>
      </c>
      <c r="C25" s="242" t="s">
        <v>580</v>
      </c>
      <c r="D25" s="242" t="s">
        <v>575</v>
      </c>
      <c r="E25" s="8" t="s">
        <v>601</v>
      </c>
      <c r="F25" s="239" t="s">
        <v>567</v>
      </c>
    </row>
    <row r="26" spans="1:6" x14ac:dyDescent="0.25">
      <c r="A26" s="243" t="s">
        <v>513</v>
      </c>
      <c r="B26" s="244" t="s">
        <v>453</v>
      </c>
      <c r="C26" s="245" t="s">
        <v>581</v>
      </c>
      <c r="D26" s="245" t="s">
        <v>571</v>
      </c>
      <c r="E26" s="8" t="s">
        <v>602</v>
      </c>
      <c r="F26" s="239" t="s">
        <v>568</v>
      </c>
    </row>
    <row r="27" spans="1:6" ht="30" x14ac:dyDescent="0.25">
      <c r="A27" s="240" t="s">
        <v>514</v>
      </c>
      <c r="B27" s="241" t="s">
        <v>515</v>
      </c>
      <c r="C27" s="242" t="s">
        <v>516</v>
      </c>
      <c r="D27" s="242" t="s">
        <v>570</v>
      </c>
      <c r="E27" s="250"/>
      <c r="F27" s="239" t="s">
        <v>569</v>
      </c>
    </row>
    <row r="28" spans="1:6" x14ac:dyDescent="0.25">
      <c r="A28" s="243" t="s">
        <v>503</v>
      </c>
      <c r="B28" s="244" t="s">
        <v>504</v>
      </c>
      <c r="C28" s="245" t="s">
        <v>582</v>
      </c>
      <c r="D28" s="245" t="s">
        <v>576</v>
      </c>
      <c r="E28" s="8" t="s">
        <v>595</v>
      </c>
      <c r="F28" s="239" t="s">
        <v>578</v>
      </c>
    </row>
    <row r="29" spans="1:6" x14ac:dyDescent="0.25">
      <c r="A29" s="240" t="s">
        <v>517</v>
      </c>
      <c r="B29" s="241" t="s">
        <v>518</v>
      </c>
      <c r="C29" s="242" t="s">
        <v>519</v>
      </c>
      <c r="D29" s="242" t="s">
        <v>577</v>
      </c>
      <c r="E29" s="8" t="s">
        <v>594</v>
      </c>
      <c r="F29" s="239" t="s">
        <v>579</v>
      </c>
    </row>
    <row r="30" spans="1:6" x14ac:dyDescent="0.25">
      <c r="A30" s="253" t="s">
        <v>520</v>
      </c>
      <c r="B30" s="254"/>
      <c r="C30" s="254"/>
      <c r="D30" s="239"/>
      <c r="E30" s="239"/>
      <c r="F30" s="239"/>
    </row>
    <row r="31" spans="1:6" x14ac:dyDescent="0.25">
      <c r="A31" s="240" t="s">
        <v>521</v>
      </c>
      <c r="B31" s="241" t="s">
        <v>522</v>
      </c>
      <c r="C31" s="242" t="s">
        <v>583</v>
      </c>
      <c r="D31" s="242" t="s">
        <v>570</v>
      </c>
      <c r="E31" s="8" t="s">
        <v>597</v>
      </c>
      <c r="F31" s="239" t="s">
        <v>584</v>
      </c>
    </row>
    <row r="32" spans="1:6" ht="30" x14ac:dyDescent="0.25">
      <c r="A32" s="243" t="s">
        <v>523</v>
      </c>
      <c r="B32" s="244" t="s">
        <v>524</v>
      </c>
      <c r="C32" s="245" t="s">
        <v>525</v>
      </c>
      <c r="D32" s="245"/>
      <c r="E32" s="8" t="s">
        <v>596</v>
      </c>
      <c r="F32" s="239"/>
    </row>
    <row r="33" spans="1:6" x14ac:dyDescent="0.25">
      <c r="A33" s="240" t="s">
        <v>526</v>
      </c>
      <c r="B33" s="241" t="s">
        <v>527</v>
      </c>
      <c r="C33" s="242" t="s">
        <v>528</v>
      </c>
      <c r="D33" s="242"/>
      <c r="E33" s="250"/>
      <c r="F33" s="239"/>
    </row>
    <row r="34" spans="1:6" x14ac:dyDescent="0.25">
      <c r="A34" s="243" t="s">
        <v>517</v>
      </c>
      <c r="B34" s="244" t="s">
        <v>474</v>
      </c>
      <c r="C34" s="245" t="s">
        <v>529</v>
      </c>
      <c r="D34" s="245" t="s">
        <v>585</v>
      </c>
      <c r="E34" s="251"/>
      <c r="F34" s="239" t="s">
        <v>586</v>
      </c>
    </row>
    <row r="35" spans="1:6" x14ac:dyDescent="0.25">
      <c r="A35" s="253" t="s">
        <v>530</v>
      </c>
      <c r="B35" s="254"/>
      <c r="C35" s="254"/>
      <c r="D35" s="239"/>
      <c r="E35" s="239"/>
      <c r="F35" s="239"/>
    </row>
    <row r="36" spans="1:6" x14ac:dyDescent="0.25">
      <c r="A36" s="240" t="s">
        <v>531</v>
      </c>
      <c r="B36" s="241" t="s">
        <v>532</v>
      </c>
      <c r="C36" s="242" t="s">
        <v>533</v>
      </c>
      <c r="D36" s="242"/>
      <c r="E36" s="8" t="s">
        <v>606</v>
      </c>
      <c r="F36" s="239"/>
    </row>
    <row r="37" spans="1:6" x14ac:dyDescent="0.25">
      <c r="A37" s="243" t="s">
        <v>513</v>
      </c>
      <c r="B37" s="244" t="s">
        <v>453</v>
      </c>
      <c r="C37" s="245" t="s">
        <v>534</v>
      </c>
      <c r="D37" s="245" t="s">
        <v>587</v>
      </c>
      <c r="E37" s="8" t="s">
        <v>603</v>
      </c>
      <c r="F37" s="239" t="s">
        <v>588</v>
      </c>
    </row>
    <row r="38" spans="1:6" x14ac:dyDescent="0.25">
      <c r="A38" s="240" t="s">
        <v>514</v>
      </c>
      <c r="B38" s="241" t="s">
        <v>535</v>
      </c>
      <c r="C38" s="242" t="s">
        <v>536</v>
      </c>
      <c r="D38" s="242"/>
      <c r="E38" s="8" t="s">
        <v>605</v>
      </c>
      <c r="F38" s="239"/>
    </row>
    <row r="39" spans="1:6" x14ac:dyDescent="0.25">
      <c r="A39" s="243" t="s">
        <v>537</v>
      </c>
      <c r="B39" s="244" t="s">
        <v>504</v>
      </c>
      <c r="C39" s="245" t="s">
        <v>538</v>
      </c>
      <c r="D39" s="242" t="s">
        <v>590</v>
      </c>
      <c r="E39" s="8" t="s">
        <v>604</v>
      </c>
      <c r="F39" s="239" t="s">
        <v>589</v>
      </c>
    </row>
    <row r="40" spans="1:6" x14ac:dyDescent="0.25">
      <c r="A40" s="240" t="s">
        <v>539</v>
      </c>
      <c r="B40" s="241" t="s">
        <v>474</v>
      </c>
      <c r="C40" s="242" t="s">
        <v>540</v>
      </c>
      <c r="D40" s="242"/>
      <c r="E40" s="8"/>
      <c r="F40" s="239"/>
    </row>
    <row r="41" spans="1:6" x14ac:dyDescent="0.25">
      <c r="A41" s="253" t="s">
        <v>541</v>
      </c>
      <c r="B41" s="254"/>
      <c r="C41" s="254"/>
      <c r="D41" s="239"/>
      <c r="E41" s="239"/>
      <c r="F41" s="239"/>
    </row>
    <row r="42" spans="1:6" x14ac:dyDescent="0.25">
      <c r="A42" s="240" t="s">
        <v>494</v>
      </c>
      <c r="B42" s="241" t="s">
        <v>542</v>
      </c>
      <c r="C42" s="242" t="s">
        <v>616</v>
      </c>
      <c r="D42" s="242" t="s">
        <v>618</v>
      </c>
      <c r="E42" s="8" t="s">
        <v>607</v>
      </c>
      <c r="F42" s="239" t="s">
        <v>619</v>
      </c>
    </row>
    <row r="43" spans="1:6" x14ac:dyDescent="0.25">
      <c r="A43" s="243" t="s">
        <v>497</v>
      </c>
      <c r="B43" s="244" t="s">
        <v>453</v>
      </c>
      <c r="C43" s="245" t="s">
        <v>543</v>
      </c>
      <c r="D43" s="245"/>
      <c r="E43" s="251"/>
      <c r="F43" s="239"/>
    </row>
    <row r="44" spans="1:6" x14ac:dyDescent="0.25">
      <c r="A44" s="240" t="s">
        <v>514</v>
      </c>
      <c r="B44" s="241" t="s">
        <v>628</v>
      </c>
      <c r="C44" s="242" t="s">
        <v>617</v>
      </c>
      <c r="D44" s="242" t="s">
        <v>615</v>
      </c>
      <c r="E44" s="8" t="s">
        <v>608</v>
      </c>
      <c r="F44" s="239" t="s">
        <v>614</v>
      </c>
    </row>
    <row r="45" spans="1:6" x14ac:dyDescent="0.25">
      <c r="A45" s="243" t="s">
        <v>544</v>
      </c>
      <c r="B45" s="244" t="s">
        <v>545</v>
      </c>
      <c r="C45" s="245" t="s">
        <v>546</v>
      </c>
      <c r="D45" s="245" t="s">
        <v>621</v>
      </c>
      <c r="E45" s="8" t="s">
        <v>609</v>
      </c>
      <c r="F45" s="239" t="s">
        <v>620</v>
      </c>
    </row>
    <row r="46" spans="1:6" x14ac:dyDescent="0.25">
      <c r="A46" s="253" t="s">
        <v>547</v>
      </c>
      <c r="B46" s="254"/>
      <c r="C46" s="254"/>
      <c r="D46" s="239"/>
      <c r="E46" s="239"/>
      <c r="F46" s="239"/>
    </row>
    <row r="47" spans="1:6" ht="30" x14ac:dyDescent="0.25">
      <c r="A47" s="240" t="s">
        <v>531</v>
      </c>
      <c r="B47" s="241" t="s">
        <v>548</v>
      </c>
      <c r="C47" s="242" t="s">
        <v>549</v>
      </c>
      <c r="D47" s="242" t="s">
        <v>626</v>
      </c>
      <c r="E47" s="8" t="s">
        <v>610</v>
      </c>
      <c r="F47" s="239" t="s">
        <v>627</v>
      </c>
    </row>
    <row r="48" spans="1:6" x14ac:dyDescent="0.25">
      <c r="A48" s="243" t="s">
        <v>513</v>
      </c>
      <c r="B48" s="244" t="s">
        <v>453</v>
      </c>
      <c r="C48" s="245" t="s">
        <v>550</v>
      </c>
      <c r="D48" s="245" t="s">
        <v>623</v>
      </c>
      <c r="E48" s="8" t="s">
        <v>611</v>
      </c>
      <c r="F48" s="239" t="s">
        <v>622</v>
      </c>
    </row>
    <row r="49" spans="1:6" x14ac:dyDescent="0.25">
      <c r="A49" s="240" t="s">
        <v>551</v>
      </c>
      <c r="B49" s="241" t="s">
        <v>552</v>
      </c>
      <c r="C49" s="242" t="s">
        <v>553</v>
      </c>
      <c r="D49" s="242" t="s">
        <v>625</v>
      </c>
      <c r="E49" s="8" t="s">
        <v>612</v>
      </c>
      <c r="F49" s="239" t="s">
        <v>624</v>
      </c>
    </row>
    <row r="50" spans="1:6" x14ac:dyDescent="0.25">
      <c r="A50" s="243" t="s">
        <v>517</v>
      </c>
      <c r="B50" s="244" t="s">
        <v>554</v>
      </c>
      <c r="C50" s="245" t="s">
        <v>613</v>
      </c>
      <c r="D50" s="245"/>
      <c r="E50" s="251"/>
      <c r="F50" s="239"/>
    </row>
    <row r="51" spans="1:6" x14ac:dyDescent="0.25">
      <c r="A51" s="253" t="s">
        <v>555</v>
      </c>
      <c r="B51" s="254"/>
      <c r="C51" s="254"/>
      <c r="D51" s="239"/>
      <c r="E51" s="239"/>
      <c r="F51" s="239"/>
    </row>
    <row r="52" spans="1:6" x14ac:dyDescent="0.25">
      <c r="A52" s="240" t="s">
        <v>556</v>
      </c>
      <c r="B52" s="241" t="s">
        <v>557</v>
      </c>
      <c r="C52" s="242" t="s">
        <v>558</v>
      </c>
      <c r="D52" s="242"/>
      <c r="E52" s="250"/>
      <c r="F52" s="239"/>
    </row>
    <row r="53" spans="1:6" x14ac:dyDescent="0.25">
      <c r="A53" s="243" t="s">
        <v>559</v>
      </c>
      <c r="B53" s="244" t="s">
        <v>453</v>
      </c>
      <c r="C53" s="245" t="s">
        <v>560</v>
      </c>
      <c r="D53" s="245"/>
      <c r="E53" s="251"/>
      <c r="F53" s="239"/>
    </row>
    <row r="54" spans="1:6" x14ac:dyDescent="0.25">
      <c r="A54" s="240" t="s">
        <v>561</v>
      </c>
      <c r="B54" s="241" t="s">
        <v>562</v>
      </c>
      <c r="C54" s="242" t="s">
        <v>563</v>
      </c>
      <c r="D54" s="242"/>
      <c r="E54" s="250"/>
      <c r="F54" s="239"/>
    </row>
    <row r="55" spans="1:6" x14ac:dyDescent="0.25">
      <c r="A55" s="243" t="s">
        <v>564</v>
      </c>
      <c r="B55" s="244" t="s">
        <v>565</v>
      </c>
      <c r="C55" s="245" t="s">
        <v>566</v>
      </c>
      <c r="D55" s="245"/>
      <c r="E55" s="251"/>
      <c r="F55" s="239"/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hyperlinks>
    <hyperlink ref="F4" r:id="rId1" xr:uid="{6D84B550-56D9-418A-9D1C-EC3261D9DE2C}"/>
    <hyperlink ref="F8" r:id="rId2" xr:uid="{362D1549-C6B0-4DBA-AF53-F162C8958291}"/>
    <hyperlink ref="F9" r:id="rId3" xr:uid="{ABA130E2-28CF-48C2-9144-36C703EF636A}"/>
    <hyperlink ref="F13" r:id="rId4" xr:uid="{E5CCB325-1CF9-4D32-BBF7-BAFC64ADBA13}"/>
    <hyperlink ref="F15" r:id="rId5" xr:uid="{E2214F55-DBDD-417E-89D1-CBE8A004BF1C}"/>
    <hyperlink ref="F20" r:id="rId6" xr:uid="{83714BB7-E198-4AF2-9E3F-F0EB6C640209}"/>
    <hyperlink ref="F22" r:id="rId7" xr:uid="{3D986609-D1AD-40CD-9D91-B61C2D40A5ED}"/>
    <hyperlink ref="F23" r:id="rId8" xr:uid="{9191FE3F-DA50-42C9-A969-CB2607764014}"/>
    <hyperlink ref="F6" r:id="rId9" xr:uid="{1A57CA13-D567-426E-8F5E-D61428112166}"/>
    <hyperlink ref="E6" r:id="rId10" xr:uid="{AD9D2A23-197E-48AD-BEB3-D183F57E51A7}"/>
    <hyperlink ref="E8" r:id="rId11" xr:uid="{C57DE3BC-5611-4857-AF68-85AE0077E820}"/>
    <hyperlink ref="E5" r:id="rId12" xr:uid="{51324F1C-9EC8-4171-933D-4D6E14F3B038}"/>
    <hyperlink ref="E9" r:id="rId13" xr:uid="{2B5871D6-0326-4F93-B09F-9BD757F4381C}"/>
    <hyperlink ref="E10" r:id="rId14" xr:uid="{8E723CD2-8DD2-4F75-A351-8FF96F018CD7}"/>
    <hyperlink ref="E13" r:id="rId15" display="../../../../../:i:/r/personal/minhpq_bsc_com_vn/Documents/09_CODER/00_travel-app/2_day2_disney.png?d=wc296c5a87d344b5b919adbf3ef69f77b&amp;csf=1&amp;web=1&amp;e=W92T7o" xr:uid="{A127C563-4395-834B-8788-273A8353BC20}"/>
    <hyperlink ref="E15" r:id="rId16" display="../../../../../:i:/r/personal/minhpq_bsc_com_vn/Documents/09_CODER/00_travel-app/2_day2_sushiro.png?d=wb0250abb38c644958a658f4efc667c78&amp;csf=1&amp;web=1&amp;e=sTFbPf" xr:uid="{190682BC-0E7E-0F41-962B-58506C0F8BD0}"/>
    <hyperlink ref="E29" r:id="rId17" display="../../../../../:i:/g/personal/minhpq_bsc_com_vn/IQASN3PAbS_HQIQR0_FD5n1SAYmOugjFcG6-uReJwtgcCYE?e=rWuANF" xr:uid="{14B42E94-EAB4-49CE-8D82-634EF37DDE61}"/>
    <hyperlink ref="E28" r:id="rId18" display="../../../../../:i:/g/personal/minhpq_bsc_com_vn/IQB4flsAI45cT5GSnsKF_MDyATLDL6sOsro-94ct9itxw2E?e=EcabOO" xr:uid="{070D46B9-DBEE-4997-88E3-49C9B34F002F}"/>
    <hyperlink ref="E32" r:id="rId19" display="../../../../../:i:/g/personal/minhpq_bsc_com_vn/IQDVbhGnxaZFTrkivsTz8W1bAasMUv2Dp_DAc_5yASeD4jc?e=Yzxj9t" xr:uid="{C5332A44-7860-4F7C-960D-16FF2F265C88}"/>
    <hyperlink ref="E31" r:id="rId20" display="../../../../../:i:/g/personal/minhpq_bsc_com_vn/IQDF_KiPSjFrR7ZlWEvC0H4SAb_fZExec5v9qbF93OoLF24?e=z1Dw9D" xr:uid="{73386BD0-603A-482D-92FF-59D863A29F48}"/>
    <hyperlink ref="E22" r:id="rId21" display="../../../../../:i:/g/personal/minhpq_bsc_com_vn/IQBfyu8zoXY_S5rF3ovv-j0hAS_Dfy_5GKsvUkE7i_A5ifY?e=h7e9ry" xr:uid="{BE3752B1-CE3A-4AF5-8F43-D003129F56DD}"/>
    <hyperlink ref="E20" r:id="rId22" display="../../../../../:i:/g/personal/minhpq_bsc_com_vn/IQBeIlMjtNl0So0gL7wAUJ8RAYxZvAF52IWD65LYwj9HdDg?e=Mgw4oP" xr:uid="{11B684D5-51AE-450C-AA0C-F2C510630764}"/>
    <hyperlink ref="E19" r:id="rId23" display="../../../../../:i:/g/personal/minhpq_bsc_com_vn/IQDgLzikkDBqRLl3xapqOwDcATte0JTl3J8WdYBzek6Tw7Q?e=Uq0g0C" xr:uid="{743F2D6C-ECC8-4036-BC04-F4192BC1ED40}"/>
    <hyperlink ref="E25" r:id="rId24" display="../../../../../:i:/g/personal/minhpq_bsc_com_vn/IQBtCFI7kvt6S4y0muApJt5iAVkKRs1rJwS249vVPd4-ruQ?e=fAZj4X" xr:uid="{B5209840-EABA-43BE-89C4-CFE907B6FDEB}"/>
    <hyperlink ref="E26" r:id="rId25" display="../../../../../:i:/g/personal/minhpq_bsc_com_vn/IQBglvt4QjBBQajia7NdromiAQo2Yakgyt_EjAYVvmRmn4E?e=eE8Exg" xr:uid="{E8D17240-227D-4451-8E14-2C32E5173B22}"/>
    <hyperlink ref="E37" r:id="rId26" display="../../../../../:i:/g/personal/minhpq_bsc_com_vn/IQCreXQiRgOFS7ggHlFNPGp-AWqnApOir01Hof4dqpVIekQ?e=mUwQxU" xr:uid="{FF254E55-70F6-47B4-A75D-9C56C001803A}"/>
    <hyperlink ref="E38" r:id="rId27" display="../../../../../:i:/g/personal/minhpq_bsc_com_vn/IQAO8_8SJog3Q4lH799OHOszARpKVXVJW3V-h72xMUw-LtY?e=fHJkTy" xr:uid="{9DE7349E-5DAC-489D-9BA1-920BCD256779}"/>
    <hyperlink ref="E36" r:id="rId28" display="../../../../../:i:/g/personal/minhpq_bsc_com_vn/IQAi5aJIKv75Q5U5vm6kHBDjARkqNOrYQa7d-mPqOmt_l9M?e=odHoQX" xr:uid="{2B6E1CBF-87A2-4134-BE94-277B3CC7FFB9}"/>
    <hyperlink ref="E42" r:id="rId29" display="../../../../../:i:/g/personal/minhpq_bsc_com_vn/IQBvxNjcSnLqT7jKgOPhtaV8AWmmNNqk6oh9a1lt8vbQuno?e=btuKan" xr:uid="{38E5D752-73C6-4466-B72D-45897A20A545}"/>
    <hyperlink ref="E39" r:id="rId30" display="../../../../../:i:/g/personal/minhpq_bsc_com_vn/IQAB-UbxLXE3QalHQcXGuVhMAY7ZhR4RXior7Gu8u3jicQ4?e=iFyZcH" xr:uid="{072046B0-F592-4B21-9C7B-E122D9FE42AE}"/>
    <hyperlink ref="E45" r:id="rId31" display="../../../../../:i:/g/personal/minhpq_bsc_com_vn/IQBuagFda6KEQLdJQxAPyzQIAXHRwhrheicUfs557gRiOdY?e=LeZ2a1" xr:uid="{C4EF7A10-6175-4B2C-AC44-311F983866BF}"/>
    <hyperlink ref="E47" r:id="rId32" display="../../../../../:i:/g/personal/minhpq_bsc_com_vn/IQBFE0qgiEGLT4MoTK3gdmuTASMCfsn-oI0Q48ttZEdKGy8?e=bIP6eJ" xr:uid="{776B393A-91D9-4A8D-B892-566419B6B1BF}"/>
    <hyperlink ref="E48" r:id="rId33" display="../../../../../:i:/g/personal/minhpq_bsc_com_vn/IQBbK0oEKOLiS6e6S3WODu0YAcall48pO6VlsUn_tzRXYBo?e=kR4APw" xr:uid="{F0B9731E-50CC-41FC-BF46-0A9929D1F4FC}"/>
    <hyperlink ref="E49" r:id="rId34" display="../../../../../:i:/g/personal/minhpq_bsc_com_vn/IQDN3mn-pXumRq_7HUsZQPoOAT__vEn4Yk9Nx376hc7c1J0?e=uP0ehC" xr:uid="{DC3492E8-1EB1-4B3F-A764-2F78CEA84404}"/>
    <hyperlink ref="E44" r:id="rId35" display="../../../../../:i:/g/personal/minhpq_bsc_com_vn/IQCMDsm-cXytSrMd_2AsKK9rAexWEsufMEj4eRK-hf43jbY?e=p9lxX0" xr:uid="{19EF1E07-911D-4B4A-8D8A-88DF318FF2A8}"/>
  </hyperlinks>
  <pageMargins left="0.7" right="0.7" top="0.75" bottom="0.75" header="0.3" footer="0.3"/>
  <pageSetup paperSize="9" fitToHeight="0" orientation="landscape" r:id="rId3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59486CE-8728-40BE-973B-B64C7CD06C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e09cf5-53a8-4aeb-94af-927f54a7d6d8"/>
    <ds:schemaRef ds:uri="ecf1487c-a58a-4bc0-a420-fb42a2a3df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C6EF48D-28DC-4A85-AE0A-77598A9ABE97}">
  <ds:schemaRefs>
    <ds:schemaRef ds:uri="http://schemas.microsoft.com/office/2006/documentManagement/types"/>
    <ds:schemaRef ds:uri="ecf1487c-a58a-4bc0-a420-fb42a2a3dfc7"/>
    <ds:schemaRef ds:uri="8ee09cf5-53a8-4aeb-94af-927f54a7d6d8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D8E275EF-C000-4518-B0F8-FE9A60820B5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 PHÍ</vt:lpstr>
      <vt:lpstr>LỊCH TRÌNH</vt:lpstr>
      <vt:lpstr>2026 HAKUBA</vt:lpstr>
      <vt:lpstr>2025</vt:lpstr>
      <vt:lpstr>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Pham Quang Minh</cp:lastModifiedBy>
  <cp:revision/>
  <dcterms:created xsi:type="dcterms:W3CDTF">2024-04-28T12:03:41Z</dcterms:created>
  <dcterms:modified xsi:type="dcterms:W3CDTF">2026-09-16T12:46:38Z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