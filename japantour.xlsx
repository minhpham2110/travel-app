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172" documentId="13_ncr:1_{4CBA3FCD-3F21-4F99-9320-E2DF1148D8FA}" xr6:coauthVersionLast="47" xr6:coauthVersionMax="47" xr10:uidLastSave="{8D2EFD55-84C5-468B-A470-9CE46B604166}"/>
  <bookViews>
    <workbookView xWindow="-120" yWindow="-120" windowWidth="38640" windowHeight="21120" tabRatio="458" firstSheet="4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<sst xmlns="http://schemas.openxmlformats.org/spreadsheetml/2006/main" count="1009" uniqueCount="577">
  <si>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</si>
  <si>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</si>
  <si>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</si>
  <si>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</si>
  <si>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</si>
  <si>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</si>
  <si>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</si>
  <si>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</si>
  <si>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</si>
  <si>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</si>
  <si>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</si>
  <si>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</si>
  <si>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</si>
  <si>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</si>
  <si>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</si>
  <si>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</si>
  <si>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</si>
  <si>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</si>
  <si>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</si>
  <si>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</si>
  <si>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</si>
  <si>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</si>
  <si>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</si>
  <si>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</si>
  <si>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</si>
  <si>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</si>
  <si>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</si>
  <si>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</si>
  <si>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</si>
  <si>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</si>
  <si>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</si>
  <si>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</si>
  <si>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</si>
  <si>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</si>
  <si>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</si>
  <si>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</si>
  <si>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</si>
  <si>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</si>
  <si>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</si>
  <si>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</si>
  <si>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</si>
  <si>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</si>
  <si>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</si>
  <si>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</si>
  <si>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</si>
  <si>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</si>
  <si>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</si>
  <si>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</si>
  <si>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</si>
  <si>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</si>
  <si>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</si>
  <si>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</si>
  <si>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</si>
  <si>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</si>
  <si>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</si>
  <si>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</si>
  <si>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</si>
  <si>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</si>
  <si>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</si>
  <si>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</si>
  <si>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</si>
  <si>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</si>
  <si>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</si>
  <si>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</si>
  <si>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</si>
  <si>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</si>
  <si>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</si>
  <si>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</si>
  <si>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</si>
  <si>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</si>
  <si>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</si>
  <si>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</si>
  <si>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</si>
  <si>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</si>
  <si>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</si>
  <si>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</si>
  <si>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</si>
  <si>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</si>
  <si>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</si>
  <si>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</si>
  <si>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</si>
  <si>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</si>
  <si>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</si>
  <si>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</si>
  <si>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</si>
  <si>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</si>
  <si>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</si>
  <si>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</si>
  <si>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</si>
  <si>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</si>
  <si>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</si>
  <si>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</si>
  <si>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</si>
  <si>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</si>
  <si>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</si>
  <si>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</si>
  <si>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</si>
  <si>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</si>
  <si>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</si>
  <si>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</si>
  <si>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</si>
  <si>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</si>
  <si>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</si>
  <si>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</si>
  <si>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</si>
  <si>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</si>
  <si>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</si>
  <si>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</si>
  <si>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</si>
  <si>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</si>
  <si>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</si>
  <si>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</si>
  <si>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</si>
  <si>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</si>
  <si>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</si>
  <si>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</si>
  <si>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</si>
  <si>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</si>
  <si>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</si>
  <si>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</si>
  <si>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</si>
  <si>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</si>
  <si>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</si>
  <si>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</si>
  <si>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</si>
  <si>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</si>
  <si>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</si>
  <si>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</si>
  <si>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</si>
  <si>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</si>
  <si>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</si>
  <si>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</si>
  <si>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</si>
  <si>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</si>
  <si>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</si>
  <si>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</si>
  <si>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</si>
  <si>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</si>
  <si>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</si>
  <si>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</si>
  <si>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</si>
  <si>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</si>
  <si>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</si>
  <si>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</si>
  <si>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</si>
  <si>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</si>
  <si>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</si>
  <si>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</si>
  <si>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</si>
  <si>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</si>
  <si>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</si>
  <si>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</si>
  <si>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</si>
  <si>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</si>
  <si>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</si>
  <si>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</si>
  <si>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</si>
  <si>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</si>
  <si>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</si>
  <si>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</si>
  <si>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</si>
  <si>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</si>
  <si>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</si>
  <si>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</si>
  <si>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</si>
  <si>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</si>
  <si>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</si>
  <si>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</si>
  <si>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</si>
  <si>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</si>
  <si>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</si>
  <si>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</si>
  <si>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</si>
  <si>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</si>
  <si>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</si>
  <si>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</si>
  <si>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</si>
  <si>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</si>
  <si>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</si>
  <si>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</si>
  <si>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</si>
  <si>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</si>
  <si>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</si>
  <si>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</si>
  <si>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</si>
  <si>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</si>
  <si>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</si>
  <si>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</si>
  <si>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</si>
  <si>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</si>
  <si>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</si>
  <si>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</si>
  <si>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</si>
  <si>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</si>
  <si>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</si>
  <si>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</si>
  <si>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</si>
  <si>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</si>
  <si>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</si>
  <si>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</si>
  <si>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</si>
  <si>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</si>
  <si>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</si>
  <si>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</si>
  <si>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</si>
  <si>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</si>
  <si>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</si>
  <si>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</si>
  <si>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</si>
  <si>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</si>
  <si>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</si>
  <si>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</si>
  <si>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</si>
  <si>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</si>
  <si>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</si>
  <si>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</si>
  <si>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</si>
  <si>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</si>
  <si>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</si>
  <si>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</si>
  <si>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</si>
  <si>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</si>
  <si>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</si>
  <si>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</si>
  <si>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</si>
  <si>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</si>
  <si>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</si>
  <si>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</si>
  <si>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</si>
  <si>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</si>
  <si>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</si>
  <si>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</si>
  <si>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</si>
  <si>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</si>
  <si>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</si>
  <si>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</si>
  <si>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</si>
  <si>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</si>
  <si>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</si>
  <si>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</si>
  <si>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</si>
  <si>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</si>
  <si>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</si>
  <si>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</si>
  <si>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</si>
  <si>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</si>
  <si>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</si>
  <si>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</si>
  <si>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</si>
  <si>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</si>
  <si>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</si>
  <si>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</si>
  <si>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</si>
  <si>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</si>
  <si>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</si>
  <si>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</si>
  <si>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</si>
  <si>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</si>
  <si>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</si>
  <si>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</si>
  <si>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</si>
  <si>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</si>
  <si>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</si>
  <si>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</si>
  <si>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</si>
  <si>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</si>
  <si>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</si>
  <si>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</si>
  <si>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</si>
  <si>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</si>
  <si>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</si>
  <si>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</si>
  <si>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</si>
  <si>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</si>
  <si>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</si>
  <si>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</si>
  <si>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</si>
  <si>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</si>
  <si>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</si>
  <si>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</si>
  <si>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</si>
  <si>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</si>
  <si>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</si>
  <si>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</si>
  <si>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</si>
  <si>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</si>
  <si>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</si>
  <si>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</si>
  <si>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</si>
  <si>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</si>
  <si>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</si>
  <si>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</si>
  <si>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</si>
  <si>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</si>
  <si>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</si>
  <si>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</si>
  <si>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</si>
  <si>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</si>
  <si>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</si>
  <si>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</si>
  <si>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</si>
  <si>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</si>
  <si>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</si>
  <si>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</si>
  <si>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</si>
  <si>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</si>
  <si>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</si>
  <si>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</si>
  <si>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</si>
  <si>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</si>
  <si>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</si>
  <si>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</si>
  <si>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</si>
  <si>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</si>
  <si>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</si>
  <si>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</si>
  <si>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</si>
  <si>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</si>
  <si>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</si>
  <si>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</si>
  <si>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</si>
  <si>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</si>
  <si>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</si>
  <si>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</si>
  <si>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</si>
  <si>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</si>
  <si>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</si>
  <si>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</si>
  <si>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</si>
  <si>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</si>
  <si>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</si>
  <si>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</si>
  <si>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</si>
  <si>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</si>
  <si>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</si>
  <si>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</si>
  <si>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</si>
  <si>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</si>
  <si>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</si>
  <si>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</si>
  <si>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</si>
  <si>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</si>
  <si>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</si>
  <si>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</si>
  <si>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</si>
  <si>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</si>
  <si>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</si>
  <si>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</si>
  <si>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</si>
  <si>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</si>
  <si>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</si>
  <si>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</si>
  <si>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</si>
  <si>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</si>
  <si>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</si>
  <si>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</si>
  <si>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</si>
  <si>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</si>
  <si>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</si>
  <si>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</si>
  <si>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</si>
  <si>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</si>
  <si>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</si>
  <si>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</si>
  <si>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</si>
  <si>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</si>
  <si>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</si>
  <si>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</si>
  <si>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</si>
  <si>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</si>
  <si>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</si>
  <si>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</si>
  <si>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</si>
  <si>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</si>
  <si>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</si>
  <si>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</si>
  <si>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</si>
  <si>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</si>
  <si>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</si>
  <si>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</si>
  <si>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</si>
  <si>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</si>
  <si>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</si>
  <si>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</si>
  <si>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</si>
  <si>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</si>
  <si>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</si>
  <si>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</si>
  <si>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</si>
  <si>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</si>
  <si>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</si>
  <si>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</si>
  <si>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</si>
  <si>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</si>
  <si>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</si>
  <si>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</si>
  <si>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</si>
  <si>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</si>
  <si>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</si>
  <si>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</si>
  <si>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</si>
  <si>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</si>
  <si>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</si>
  <si>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</si>
  <si>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</si>
  <si>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</si>
  <si>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</si>
  <si>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</si>
  <si>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</si>
  <si>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</si>
  <si>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</si>
  <si>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</si>
  <si>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</si>
  <si>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</si>
  <si>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</si>
  <si>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</si>
  <si>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</si>
  <si>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</si>
  <si>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</si>
  <si>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</si>
  <si>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</si>
  <si>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</si>
  <si>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</si>
  <si>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</si>
  <si>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</si>
  <si>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</si>
  <si>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</si>
  <si>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</si>
  <si>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</si>
  <si>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</si>
  <si>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</si>
  <si>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</si>
  <si>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</si>
  <si>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</si>
  <si>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</si>
  <si>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</si>
  <si>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</si>
  <si>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</si>
  <si>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</si>
  <si>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</si>
  <si>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</si>
  <si>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</si>
  <si>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</si>
  <si>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</si>
  <si>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Yamato Transport on Terminal 2, 3rd Floor</t>
  </si>
  <si>
    <t>https://www.kuronekoyamato.co.jp/ytc/en/send/services/airport/narita2_send.html</t>
  </si>
  <si>
    <t>11:00 - 12:00</t>
  </si>
  <si>
    <t>Airport Transfer</t>
  </si>
  <si>
    <t>Transfer from Narita to Tokyo via Keisei Skyliner / Train</t>
  </si>
  <si>
    <t>Airbnb</t>
  </si>
  <si>
    <t>1_day1_airbnb.png</t>
  </si>
  <si>
    <t>https://maps.app.goo.gl/DBmdvffro3LetJej6</t>
  </si>
  <si>
    <t>12:00 - 13:00</t>
  </si>
  <si>
    <t>Lunch</t>
  </si>
  <si>
    <t xml:space="preserve">Enjoy Japanese curry </t>
  </si>
  <si>
    <t>CoCo Ichibanya</t>
  </si>
  <si>
    <t>1_day1_curryhouse.png</t>
  </si>
  <si>
    <t>https://maps.app.goo.gl/QUZeFor2cqwbRkzj7</t>
  </si>
  <si>
    <t>13:00 - 14:00</t>
  </si>
  <si>
    <t>Check-in</t>
  </si>
  <si>
    <t>Airbnb Check in at 6-chōme-12-1 Ōmorikita エルメゾン大森203, Ota City, Tokyo</t>
  </si>
  <si>
    <t>14:00 - 16:30</t>
  </si>
  <si>
    <t>Miraikan Museum</t>
  </si>
  <si>
    <t>Visit National Museum of Emerging Science and Innovation</t>
  </si>
  <si>
    <t>Miraikan</t>
  </si>
  <si>
    <t>1_day1_miraikan.png</t>
  </si>
  <si>
    <t>https://maps.app.goo.gl/BmYZxEzfSyLjgQyp9</t>
  </si>
  <si>
    <t>16:30 - 17:30</t>
  </si>
  <si>
    <t>Odaiba Sunset</t>
  </si>
  <si>
    <t>Sunset stroll at Odaiba Seaside Park; Admire Rainbow Bridge and Tokyo Bay skyline.</t>
  </si>
  <si>
    <t>Sunset point</t>
  </si>
  <si>
    <t>1_day1_odaibapark.png</t>
  </si>
  <si>
    <t>https://maps.app.goo.gl/t1SnqWYUNsLD9mvk7</t>
  </si>
  <si>
    <t>18:00 - 20:00</t>
  </si>
  <si>
    <t>Dinner</t>
  </si>
  <si>
    <t>Traditional Tokyo Monjayaki dinner</t>
  </si>
  <si>
    <t>https://bscvn-my.sharepoint.com/:i:/g/personal/minhpq_bsc_com_vn/IQBRUb7lv3OXQKmQhgxjWPieAVVa-oUibISNnQYhKMhKaM4?e=u00oyY</t>
  </si>
  <si>
    <t>Evening</t>
  </si>
  <si>
    <t>Night at Tokyo and Return hotel to rest</t>
  </si>
  <si>
    <t xml:space="preserve">  Day 2: Tokyo DisneySea</t>
  </si>
  <si>
    <t>08:00 - 09:00</t>
  </si>
  <si>
    <t>Transfer to Disney</t>
  </si>
  <si>
    <t>Transfer from hotel to Tokyo DisneySea</t>
  </si>
  <si>
    <t>Tokyo DisneySea</t>
  </si>
  <si>
    <t>https://maps.app.goo.gl/mFXM4V9B9K4DBWVz8</t>
  </si>
  <si>
    <t>09:00 - 16:00</t>
  </si>
  <si>
    <t>Full day exploring themed ports: Mediterranean Harbor, Mysterious Island, Arabian Coast &amp; thrilling attractions. Lunch inside park.</t>
  </si>
  <si>
    <t>17:00 - 21:00</t>
  </si>
  <si>
    <t>Fresh sushi dinner at Sushiro</t>
  </si>
  <si>
    <t>Omorikita branch</t>
  </si>
  <si>
    <t>https://share.google/glhiHLvLUNFKbIXOL</t>
  </si>
  <si>
    <t xml:space="preserve">  Day 3: Mount Fuji • Oshino Hakkai • Lake Kawaguchiko</t>
  </si>
  <si>
    <t>06:00 - 08:00</t>
  </si>
  <si>
    <t>Depart for Mt. Fuji</t>
  </si>
  <si>
    <t>Check out hotel; Transfer from Tokyo toward Fuji Mount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</si>
  <si>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</si>
  <si>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</si>
  <si>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</si>
  <si>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</si>
  <si>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</si>
  <si>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Huto Noodle</t>
  </si>
  <si>
    <t>https://share.google/07foiHP82iKKrDXLN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</si>
  <si>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</si>
  <si>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</si>
  <si>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</si>
  <si>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</si>
  <si>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</si>
  <si>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</si>
  <si>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 xml:space="preserve"> Fuji Kawaguchiko Resort Hotel</t>
  </si>
  <si>
    <t>https://share.google/HkyzWgzwgKD1EYvWY</t>
  </si>
  <si>
    <t>Charcoal-grilled BBQ/ Yakitori dinner at Sanrokuen.</t>
  </si>
  <si>
    <t>tiktok.com/@wethecurioustravelers/video/7350291288496901394?is_from_webapp=1&amp;sender_device=pc&amp;web_id=7410061434220971537</t>
  </si>
  <si>
    <t xml:space="preserve">  Day 4: Kawaguchiko • Matsumoto City</t>
  </si>
  <si>
    <t>08:00 - 11:30</t>
  </si>
  <si>
    <t>Lakeside Cycling</t>
  </si>
  <si>
    <t>Morning bike tour around Lake Kawaguchiko; lakeside coffee break (The Park Cafe / Lake Bake).</t>
  </si>
  <si>
    <t>11:30 - 13:00</t>
  </si>
  <si>
    <t>Crispy Tonkatsu / Tempura at Fuji Tempura Idaten (or Koushuya).</t>
  </si>
  <si>
    <t>13:30 - 16:30</t>
  </si>
  <si>
    <t>Transfer to Matsumoto</t>
  </si>
  <si>
    <t>Scenic transfer by express bus / JR train from Kawaguchiko Station to Matsumoto (Nagano).</t>
  </si>
  <si>
    <t>Check in Toyoko Inn Matsumoto Station Ekimae.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</si>
  <si>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</si>
  <si>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</si>
  <si>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</si>
  <si>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</si>
  <si>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</si>
  <si>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</si>
  <si>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Depart Matsumoto Bus Terminal via scenic alpine bus to Kamikochi (Chubu Sangaku National Park).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</si>
  <si>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</si>
  <si>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</si>
  <si>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</si>
  <si>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</si>
  <si>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</si>
  <si>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</si>
  <si>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</si>
  <si>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</si>
  <si>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</si>
  <si>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</si>
  <si>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</si>
  <si>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</si>
  <si>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</si>
  <si>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</si>
  <si>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</si>
  <si>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</si>
  <si>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</si>
  <si>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</si>
  <si>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</si>
  <si>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</si>
  <si>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</si>
  <si>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</si>
  <si>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</si>
  <si>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</si>
  <si>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</si>
  <si>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</si>
  <si>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</si>
  <si>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</si>
  <si>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</si>
  <si>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</si>
  <si>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</si>
  <si>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</si>
  <si>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</si>
  <si>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</si>
  <si>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</si>
  <si>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>Kyoto farewell dinner &amp; traditional Matcha souvenir shopping.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</si>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</sst>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1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3" fillId="11" borderId="6" xfId="0" applyFont="1" applyFill="1" applyBorder="1"/>
    <xf numFmtId="0" fontId="28" fillId="10" borderId="6" xfId="0" applyFont="1" applyFill="1" applyBorder="1"/>
    <xf numFmtId="0" fontId="28" fillId="0" borderId="6" xfId="0" applyFont="1" applyBorder="1"/>
    <xf numFmtId="0" fontId="31" fillId="8" borderId="6" xfId="0" applyFont="1" applyFill="1" applyBorder="1" applyAlignment="1">
      <alignment horizontal="center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2" fillId="8" borderId="6" xfId="0" applyFont="1" applyFill="1" applyBorder="1" applyAlignment="1">
      <alignment horizontal="left" vertical="center" wrapText="1"/>
    </xf>
    <xf numFmtId="0" fontId="31" fillId="9" borderId="6" xfId="0" applyFont="1" applyFill="1" applyBorder="1" applyAlignment="1">
      <alignment horizontal="center" vertical="center" wrapText="1"/>
    </xf>
    <xf numFmtId="0" fontId="30" fillId="9" borderId="6" xfId="0" applyFont="1" applyFill="1" applyBorder="1" applyAlignment="1">
      <alignment horizontal="left" vertical="center" wrapText="1"/>
    </xf>
    <xf numFmtId="0" fontId="32" fillId="9" borderId="6" xfId="0" applyFont="1" applyFill="1" applyBorder="1" applyAlignment="1">
      <alignment horizontal="left" vertical="center" wrapText="1"/>
    </xf>
    <xf numFmtId="0" fontId="2" fillId="0" borderId="6" xfId="2" applyBorder="1"/>
    <xf numFmtId="0" fontId="34" fillId="0" borderId="6" xfId="0" applyFont="1" applyBorder="1"/>
    <xf numFmtId="20" fontId="31" fillId="8" borderId="6" xfId="0" applyNumberFormat="1" applyFont="1" applyFill="1" applyBorder="1" applyAlignment="1">
      <alignment horizontal="center" vertical="center" wrapText="1"/>
    </xf>
    <xf numFmtId="0" fontId="30" fillId="7" borderId="6" xfId="0" applyFont="1" applyFill="1" applyBorder="1" applyAlignment="1">
      <alignment horizontal="left" vertical="center"/>
    </xf>
    <xf numFmtId="0" fontId="30" fillId="10" borderId="6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28" fillId="10" borderId="6" xfId="0" applyFont="1" applyFill="1" applyBorder="1" applyAlignment="1"/>
    <xf numFmtId="0" fontId="28" fillId="0" borderId="6" xfId="0" applyFont="1" applyBorder="1" applyAlignment="1"/>
  </cellXfs>
  <cellStyles count="3">
    <cellStyle name="Bình thường" xfId="0" builtinId="0"/>
    <cellStyle name="Dấu phẩy" xfId="1" builtinId="3"/>
    <cellStyle name="Hyperlink" xfId="2" xr:uid="{00000000-000B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iktok.com/@wethecurioustravelers/video/7350291288496901394?is_from_webapp=1&amp;sender_device=pc&amp;web_id=7410061434220971537" TargetMode="External"/><Relationship Id="rId13" Type="http://schemas.openxmlformats.org/officeDocument/2006/relationships/hyperlink" Target="https://bscvn-my.sharepoint.com/:i:/g/personal/minhpq_bsc_com_vn/IQAXPBG9UnBwTpQs2Cy7dpXpAc6j4EmwAca4CHmqqL26Ypo?e=0im2m3" TargetMode="External"/><Relationship Id="rId3" Type="http://schemas.openxmlformats.org/officeDocument/2006/relationships/hyperlink" Target="https://maps.app.goo.gl/t1SnqWYUNsLD9mvk7" TargetMode="External"/><Relationship Id="rId7" Type="http://schemas.openxmlformats.org/officeDocument/2006/relationships/hyperlink" Target="https://share.google/HkyzWgzwgKD1EYvWY" TargetMode="External"/><Relationship Id="rId12" Type="http://schemas.openxmlformats.org/officeDocument/2006/relationships/hyperlink" Target="https://bscvn-my.sharepoint.com/:i:/g/personal/minhpq_bsc_com_vn/IQBp3M4_NE2ZSqD9q9pU2peIAbbcnde8yXTFMnIdHEkDNfY?e=azQcmM" TargetMode="External"/><Relationship Id="rId2" Type="http://schemas.openxmlformats.org/officeDocument/2006/relationships/hyperlink" Target="https://maps.app.goo.gl/BmYZxEzfSyLjgQyp9" TargetMode="External"/><Relationship Id="rId1" Type="http://schemas.openxmlformats.org/officeDocument/2006/relationships/hyperlink" Target="https://www.kuronekoyamato.co.jp/ytc/en/send/services/airport/narita2_send.html" TargetMode="External"/><Relationship Id="rId6" Type="http://schemas.openxmlformats.org/officeDocument/2006/relationships/hyperlink" Target="https://share.google/07foiHP82iKKrDXLN" TargetMode="External"/><Relationship Id="rId11" Type="http://schemas.openxmlformats.org/officeDocument/2006/relationships/hyperlink" Target="https://bscvn-my.sharepoint.com/:i:/g/personal/minhpq_bsc_com_vn/IQBD7wUT2k48SJvkY0upbYohAdgDcb1iOTuvIsmrngBhf7A?e=VOHk4h" TargetMode="External"/><Relationship Id="rId5" Type="http://schemas.openxmlformats.org/officeDocument/2006/relationships/hyperlink" Target="https://share.google/glhiHLvLUNFKbIXOL" TargetMode="External"/><Relationship Id="rId15" Type="http://schemas.openxmlformats.org/officeDocument/2006/relationships/printerSettings" Target="../printerSettings/printerSettings3.bin"/><Relationship Id="rId10" Type="http://schemas.openxmlformats.org/officeDocument/2006/relationships/hyperlink" Target="https://bscvn-my.sharepoint.com/:i:/g/personal/minhpq_bsc_com_vn/IQAC_NSwxobKRaxlekq1zfS7AT8vNsxlweNx7X9ARb_4rxc?e=eBPDh3" TargetMode="External"/><Relationship Id="rId4" Type="http://schemas.openxmlformats.org/officeDocument/2006/relationships/hyperlink" Target="https://maps.app.goo.gl/mFXM4V9B9K4DBWVz8" TargetMode="External"/><Relationship Id="rId9" Type="http://schemas.openxmlformats.org/officeDocument/2006/relationships/hyperlink" Target="https://maps.app.goo.gl/QUZeFor2cqwbRkzj7" TargetMode="External"/><Relationship Id="rId14" Type="http://schemas.openxmlformats.org/officeDocument/2006/relationships/hyperlink" Target="https://bscvn-my.sharepoint.com/:i:/g/personal/minhpq_bsc_com_vn/IQBRUb7lv3OXQKmQhgxjWPieAVVa-oUibISNnQYhKMhKaM4?e=u00oy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>
      <c r="H4" s="5">
        <f t="shared" si="0"/>
        <v>0</v>
      </c>
    </row>
    <row r="5" spans="2:10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>
      <c r="B13" s="2" t="s">
        <v>16</v>
      </c>
    </row>
    <row r="14" spans="2:10" s="1" customFormat="1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>
      <c r="A54" s="35"/>
      <c r="B54" s="36"/>
      <c r="C54" s="40"/>
      <c r="D54" s="38"/>
      <c r="E54" s="39"/>
      <c r="F54" s="38"/>
      <c r="G54" s="38"/>
      <c r="H54" s="39"/>
    </row>
    <row r="55" spans="1:10" ht="15" customHeight="1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>
      <c r="A70" s="37"/>
      <c r="B70" s="38"/>
      <c r="C70" s="37"/>
      <c r="D70" s="38"/>
      <c r="E70" s="39"/>
      <c r="F70" s="38"/>
      <c r="G70" s="38"/>
      <c r="H70" s="38"/>
    </row>
    <row r="71" spans="1:10" ht="15" customHeight="1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>
      <c r="A137" s="37"/>
      <c r="B137" s="38"/>
      <c r="C137" s="251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>
      <c r="A138" s="37"/>
      <c r="B138" s="38"/>
      <c r="C138" s="251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2" customFormat="1">
      <c r="A2" s="252" t="s">
        <v>226</v>
      </c>
    </row>
    <row r="3" spans="1:10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>
      <c r="A8" s="84"/>
      <c r="B8" s="85"/>
      <c r="C8" s="253" t="s">
        <v>230</v>
      </c>
      <c r="D8" s="253"/>
      <c r="E8" s="96">
        <v>1500</v>
      </c>
      <c r="F8" s="95"/>
      <c r="G8" s="85"/>
      <c r="H8" s="96"/>
      <c r="I8" s="96"/>
      <c r="J8" s="96"/>
    </row>
    <row r="9" spans="1:10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>
      <c r="A11" s="253" t="s">
        <v>233</v>
      </c>
      <c r="B11" s="253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>
      <c r="E121" s="169" t="s">
        <v>320</v>
      </c>
      <c r="H121" s="169">
        <f>SUMIF($I$3:$I$117,"DC",$H$3:$H$117)/2</f>
        <v>15755180</v>
      </c>
    </row>
    <row r="122" spans="1:10">
      <c r="E122" s="233" t="s">
        <v>321</v>
      </c>
      <c r="H122" s="169">
        <f>H121-H13/2</f>
        <v>7438180</v>
      </c>
    </row>
    <row r="123" spans="1:10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2" customFormat="1">
      <c r="A2" s="252" t="s">
        <v>226</v>
      </c>
    </row>
    <row r="3" spans="1:12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>
      <c r="A10" s="84"/>
      <c r="B10" s="85"/>
      <c r="C10" s="253" t="s">
        <v>25</v>
      </c>
      <c r="D10" s="253"/>
      <c r="E10" s="96">
        <v>3000</v>
      </c>
      <c r="F10" s="95"/>
      <c r="G10" s="85"/>
      <c r="H10" s="96"/>
      <c r="I10" s="96"/>
      <c r="J10" s="96"/>
    </row>
    <row r="11" spans="1:12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>
      <c r="A13" s="253" t="s">
        <v>233</v>
      </c>
      <c r="B13" s="253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>
      <c r="A34" s="114"/>
      <c r="B34" s="127"/>
      <c r="C34" s="255" t="s">
        <v>338</v>
      </c>
      <c r="D34" s="255"/>
      <c r="E34" s="128"/>
      <c r="F34" s="129"/>
      <c r="G34" s="127"/>
      <c r="H34" s="128"/>
      <c r="I34" s="127"/>
      <c r="J34" s="127"/>
      <c r="K34" s="130"/>
      <c r="L34" s="130"/>
    </row>
    <row r="35" spans="1:12">
      <c r="A35" s="114"/>
      <c r="B35" s="127"/>
      <c r="C35" s="256" t="s">
        <v>50</v>
      </c>
      <c r="D35" s="256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>
      <c r="A36" s="100">
        <v>0.27083333333333331</v>
      </c>
      <c r="B36" s="101">
        <v>0.33333333333333331</v>
      </c>
      <c r="C36" s="258" t="s">
        <v>51</v>
      </c>
      <c r="D36" s="258"/>
      <c r="E36" s="132"/>
      <c r="F36" s="133"/>
      <c r="G36" s="134"/>
      <c r="H36" s="132"/>
      <c r="I36" s="134"/>
      <c r="J36" s="134"/>
      <c r="K36" s="126"/>
      <c r="L36" s="126"/>
    </row>
    <row r="37" spans="1:12" ht="31.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>
      <c r="A48" s="114"/>
      <c r="B48" s="109"/>
      <c r="C48" s="257" t="s">
        <v>352</v>
      </c>
      <c r="D48" s="257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>
      <c r="A83" s="114"/>
      <c r="B83" s="109"/>
      <c r="C83" s="254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>
      <c r="A84" s="114"/>
      <c r="B84" s="109"/>
      <c r="C84" s="254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>
      <c r="A99" s="114"/>
      <c r="C99" s="91"/>
      <c r="D99" s="91"/>
      <c r="E99" s="91"/>
      <c r="F99" s="91"/>
      <c r="J99" s="96"/>
    </row>
    <row r="100" spans="1:12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zoomScale="130" zoomScaleNormal="130" workbookViewId="0">
      <selection activeCell="E11" sqref="E11"/>
    </sheetView>
  </sheetViews>
  <sheetFormatPr defaultColWidth="8.85546875" defaultRowHeight="15"/>
  <cols>
    <col min="1" max="1" width="18" style="216" customWidth="1"/>
    <col min="2" max="2" width="28" style="216" customWidth="1"/>
    <col min="3" max="3" width="81" style="216" customWidth="1"/>
    <col min="4" max="4" width="38" style="216" bestFit="1" customWidth="1"/>
    <col min="5" max="5" width="6.5703125" style="216" bestFit="1" customWidth="1"/>
    <col min="6" max="16384" width="8.85546875" style="216"/>
  </cols>
  <sheetData>
    <row r="1" spans="1:6">
      <c r="A1" s="236" t="s">
        <v>432</v>
      </c>
      <c r="B1" s="236" t="s">
        <v>433</v>
      </c>
      <c r="C1" s="236" t="s">
        <v>434</v>
      </c>
      <c r="D1" s="236" t="s">
        <v>435</v>
      </c>
      <c r="E1" s="236" t="s">
        <v>436</v>
      </c>
      <c r="F1" s="237" t="s">
        <v>437</v>
      </c>
    </row>
    <row r="2" spans="1:6">
      <c r="A2" s="250" t="s">
        <v>438</v>
      </c>
      <c r="B2" s="259"/>
      <c r="C2" s="259"/>
      <c r="D2" s="238"/>
      <c r="E2" s="238"/>
      <c r="F2" s="239"/>
    </row>
    <row r="3" spans="1:6">
      <c r="A3" s="240" t="s">
        <v>439</v>
      </c>
      <c r="B3" s="241" t="s">
        <v>440</v>
      </c>
      <c r="C3" s="242" t="s">
        <v>441</v>
      </c>
      <c r="D3" s="242"/>
      <c r="E3" s="242"/>
      <c r="F3" s="239"/>
    </row>
    <row r="4" spans="1:6">
      <c r="A4" s="243" t="s">
        <v>442</v>
      </c>
      <c r="B4" s="244" t="s">
        <v>443</v>
      </c>
      <c r="C4" s="245" t="s">
        <v>443</v>
      </c>
      <c r="D4" s="245" t="s">
        <v>444</v>
      </c>
      <c r="E4" s="245"/>
      <c r="F4" s="246" t="s">
        <v>445</v>
      </c>
    </row>
    <row r="5" spans="1:6">
      <c r="A5" s="240" t="s">
        <v>446</v>
      </c>
      <c r="B5" s="241" t="s">
        <v>447</v>
      </c>
      <c r="C5" s="242" t="s">
        <v>448</v>
      </c>
      <c r="D5" s="242" t="s">
        <v>449</v>
      </c>
      <c r="E5" s="8" t="s">
        <v>450</v>
      </c>
      <c r="F5" s="247" t="s">
        <v>451</v>
      </c>
    </row>
    <row r="6" spans="1:6">
      <c r="A6" s="243" t="s">
        <v>452</v>
      </c>
      <c r="B6" s="244" t="s">
        <v>453</v>
      </c>
      <c r="C6" s="245" t="s">
        <v>454</v>
      </c>
      <c r="D6" s="245" t="s">
        <v>455</v>
      </c>
      <c r="E6" s="8" t="s">
        <v>456</v>
      </c>
      <c r="F6" s="246" t="s">
        <v>457</v>
      </c>
    </row>
    <row r="7" spans="1:6" ht="15.75">
      <c r="A7" s="240" t="s">
        <v>458</v>
      </c>
      <c r="B7" s="244" t="s">
        <v>459</v>
      </c>
      <c r="C7" s="245" t="s">
        <v>460</v>
      </c>
      <c r="D7" s="245"/>
      <c r="E7" s="245"/>
      <c r="F7" s="239"/>
    </row>
    <row r="8" spans="1:6">
      <c r="A8" s="243" t="s">
        <v>461</v>
      </c>
      <c r="B8" s="244" t="s">
        <v>462</v>
      </c>
      <c r="C8" s="245" t="s">
        <v>463</v>
      </c>
      <c r="D8" s="245" t="s">
        <v>464</v>
      </c>
      <c r="E8" s="8" t="s">
        <v>465</v>
      </c>
      <c r="F8" s="246" t="s">
        <v>466</v>
      </c>
    </row>
    <row r="9" spans="1:6">
      <c r="A9" s="240" t="s">
        <v>467</v>
      </c>
      <c r="B9" s="241" t="s">
        <v>468</v>
      </c>
      <c r="C9" s="242" t="s">
        <v>469</v>
      </c>
      <c r="D9" s="242" t="s">
        <v>470</v>
      </c>
      <c r="E9" s="8" t="s">
        <v>471</v>
      </c>
      <c r="F9" s="246" t="s">
        <v>472</v>
      </c>
    </row>
    <row r="10" spans="1:6">
      <c r="A10" s="243" t="s">
        <v>473</v>
      </c>
      <c r="B10" s="244" t="s">
        <v>474</v>
      </c>
      <c r="C10" s="245" t="s">
        <v>475</v>
      </c>
      <c r="D10" s="245"/>
      <c r="E10" s="8" t="s">
        <v>476</v>
      </c>
      <c r="F10" s="239"/>
    </row>
    <row r="11" spans="1:6">
      <c r="A11" s="248">
        <v>0.875</v>
      </c>
      <c r="B11" s="241" t="s">
        <v>477</v>
      </c>
      <c r="C11" s="242" t="s">
        <v>478</v>
      </c>
      <c r="D11" s="242"/>
      <c r="E11" s="242"/>
      <c r="F11" s="239"/>
    </row>
    <row r="12" spans="1:6">
      <c r="A12" s="249" t="s">
        <v>479</v>
      </c>
      <c r="B12" s="260"/>
      <c r="C12" s="260"/>
      <c r="D12" s="239"/>
      <c r="E12" s="239"/>
      <c r="F12" s="239"/>
    </row>
    <row r="13" spans="1:6">
      <c r="A13" s="240" t="s">
        <v>480</v>
      </c>
      <c r="B13" s="241" t="s">
        <v>481</v>
      </c>
      <c r="C13" s="242" t="s">
        <v>482</v>
      </c>
      <c r="D13" s="242" t="s">
        <v>483</v>
      </c>
      <c r="E13" s="242"/>
      <c r="F13" s="246" t="s">
        <v>484</v>
      </c>
    </row>
    <row r="14" spans="1:6" ht="29.25">
      <c r="A14" s="243" t="s">
        <v>485</v>
      </c>
      <c r="B14" s="244" t="s">
        <v>483</v>
      </c>
      <c r="C14" s="245" t="s">
        <v>486</v>
      </c>
      <c r="D14" s="245"/>
      <c r="E14" s="245"/>
      <c r="F14" s="239"/>
    </row>
    <row r="15" spans="1:6">
      <c r="A15" s="240" t="s">
        <v>487</v>
      </c>
      <c r="B15" s="241" t="s">
        <v>474</v>
      </c>
      <c r="C15" s="242" t="s">
        <v>488</v>
      </c>
      <c r="D15" s="242" t="s">
        <v>489</v>
      </c>
      <c r="E15" s="242"/>
      <c r="F15" s="246" t="s">
        <v>490</v>
      </c>
    </row>
    <row r="16" spans="1:6">
      <c r="A16" s="248">
        <v>0.875</v>
      </c>
      <c r="B16" s="241" t="s">
        <v>477</v>
      </c>
      <c r="C16" s="242" t="s">
        <v>478</v>
      </c>
      <c r="D16" s="245"/>
      <c r="E16" s="245"/>
      <c r="F16" s="239"/>
    </row>
    <row r="17" spans="1:6">
      <c r="A17" s="249" t="s">
        <v>491</v>
      </c>
      <c r="B17" s="260"/>
      <c r="C17" s="260"/>
      <c r="D17" s="239"/>
      <c r="E17" s="239"/>
      <c r="F17" s="239"/>
    </row>
    <row r="18" spans="1:6">
      <c r="A18" s="240" t="s">
        <v>492</v>
      </c>
      <c r="B18" s="241" t="s">
        <v>493</v>
      </c>
      <c r="C18" s="242" t="s">
        <v>494</v>
      </c>
      <c r="D18" s="242"/>
      <c r="E18" s="242"/>
      <c r="F18" s="239"/>
    </row>
    <row r="19" spans="1:6" ht="29.25">
      <c r="A19" s="243" t="s">
        <v>495</v>
      </c>
      <c r="B19" s="244" t="s">
        <v>496</v>
      </c>
      <c r="C19" s="245" t="s">
        <v>497</v>
      </c>
      <c r="D19" s="245"/>
      <c r="E19" s="245"/>
      <c r="F19" s="239"/>
    </row>
    <row r="20" spans="1:6">
      <c r="A20" s="240" t="s">
        <v>498</v>
      </c>
      <c r="B20" s="241" t="s">
        <v>453</v>
      </c>
      <c r="C20" s="242" t="s">
        <v>499</v>
      </c>
      <c r="D20" s="242" t="s">
        <v>500</v>
      </c>
      <c r="E20" s="242"/>
      <c r="F20" s="246" t="s">
        <v>501</v>
      </c>
    </row>
    <row r="21" spans="1:6">
      <c r="A21" s="243" t="s">
        <v>502</v>
      </c>
      <c r="B21" s="244" t="s">
        <v>503</v>
      </c>
      <c r="C21" s="245" t="s">
        <v>504</v>
      </c>
      <c r="D21" s="245"/>
      <c r="E21" s="245"/>
      <c r="F21" s="239"/>
    </row>
    <row r="22" spans="1:6">
      <c r="A22" s="240" t="s">
        <v>505</v>
      </c>
      <c r="B22" s="241" t="s">
        <v>506</v>
      </c>
      <c r="C22" s="242" t="s">
        <v>507</v>
      </c>
      <c r="D22" s="242" t="s">
        <v>508</v>
      </c>
      <c r="E22" s="242"/>
      <c r="F22" s="246" t="s">
        <v>509</v>
      </c>
    </row>
    <row r="23" spans="1:6">
      <c r="A23" s="243" t="s">
        <v>473</v>
      </c>
      <c r="B23" s="244" t="s">
        <v>474</v>
      </c>
      <c r="C23" s="245" t="s">
        <v>510</v>
      </c>
      <c r="D23" s="245"/>
      <c r="E23" s="245"/>
      <c r="F23" s="8" t="s">
        <v>511</v>
      </c>
    </row>
    <row r="24" spans="1:6">
      <c r="A24" s="249" t="s">
        <v>512</v>
      </c>
      <c r="B24" s="260"/>
      <c r="C24" s="260"/>
      <c r="D24" s="239"/>
      <c r="E24" s="239"/>
      <c r="F24" s="239"/>
    </row>
    <row r="25" spans="1:6">
      <c r="A25" s="240" t="s">
        <v>513</v>
      </c>
      <c r="B25" s="241" t="s">
        <v>514</v>
      </c>
      <c r="C25" s="242" t="s">
        <v>515</v>
      </c>
      <c r="D25" s="242"/>
      <c r="E25" s="242"/>
      <c r="F25" s="239"/>
    </row>
    <row r="26" spans="1:6">
      <c r="A26" s="243" t="s">
        <v>516</v>
      </c>
      <c r="B26" s="244" t="s">
        <v>453</v>
      </c>
      <c r="C26" s="245" t="s">
        <v>517</v>
      </c>
      <c r="D26" s="245"/>
      <c r="E26" s="245"/>
      <c r="F26" s="239"/>
    </row>
    <row r="27" spans="1:6">
      <c r="A27" s="240" t="s">
        <v>518</v>
      </c>
      <c r="B27" s="241" t="s">
        <v>519</v>
      </c>
      <c r="C27" s="242" t="s">
        <v>520</v>
      </c>
      <c r="D27" s="242"/>
      <c r="E27" s="242"/>
      <c r="F27" s="239"/>
    </row>
    <row r="28" spans="1:6">
      <c r="A28" s="243" t="s">
        <v>505</v>
      </c>
      <c r="B28" s="244" t="s">
        <v>506</v>
      </c>
      <c r="C28" s="245" t="s">
        <v>521</v>
      </c>
      <c r="D28" s="245"/>
      <c r="E28" s="245"/>
      <c r="F28" s="239"/>
    </row>
    <row r="29" spans="1:6">
      <c r="A29" s="240" t="s">
        <v>522</v>
      </c>
      <c r="B29" s="241" t="s">
        <v>523</v>
      </c>
      <c r="C29" s="242" t="s">
        <v>524</v>
      </c>
      <c r="D29" s="242"/>
      <c r="E29" s="242"/>
      <c r="F29" s="239"/>
    </row>
    <row r="30" spans="1:6">
      <c r="A30" s="249" t="s">
        <v>525</v>
      </c>
      <c r="B30" s="260"/>
      <c r="C30" s="260"/>
      <c r="D30" s="239"/>
      <c r="E30" s="239"/>
      <c r="F30" s="239"/>
    </row>
    <row r="31" spans="1:6" ht="29.25">
      <c r="A31" s="240" t="s">
        <v>526</v>
      </c>
      <c r="B31" s="241" t="s">
        <v>527</v>
      </c>
      <c r="C31" s="242" t="s">
        <v>528</v>
      </c>
      <c r="D31" s="242"/>
      <c r="E31" s="242"/>
      <c r="F31" s="239"/>
    </row>
    <row r="32" spans="1:6" ht="29.25">
      <c r="A32" s="243" t="s">
        <v>529</v>
      </c>
      <c r="B32" s="244" t="s">
        <v>530</v>
      </c>
      <c r="C32" s="245" t="s">
        <v>531</v>
      </c>
      <c r="D32" s="245"/>
      <c r="E32" s="245"/>
      <c r="F32" s="239"/>
    </row>
    <row r="33" spans="1:6">
      <c r="A33" s="240" t="s">
        <v>532</v>
      </c>
      <c r="B33" s="241" t="s">
        <v>533</v>
      </c>
      <c r="C33" s="242" t="s">
        <v>534</v>
      </c>
      <c r="D33" s="242"/>
      <c r="E33" s="242"/>
      <c r="F33" s="239"/>
    </row>
    <row r="34" spans="1:6">
      <c r="A34" s="243" t="s">
        <v>522</v>
      </c>
      <c r="B34" s="244" t="s">
        <v>474</v>
      </c>
      <c r="C34" s="245" t="s">
        <v>535</v>
      </c>
      <c r="D34" s="245"/>
      <c r="E34" s="245"/>
      <c r="F34" s="239"/>
    </row>
    <row r="35" spans="1:6">
      <c r="A35" s="249" t="s">
        <v>536</v>
      </c>
      <c r="B35" s="260"/>
      <c r="C35" s="260"/>
      <c r="D35" s="239"/>
      <c r="E35" s="239"/>
      <c r="F35" s="239"/>
    </row>
    <row r="36" spans="1:6">
      <c r="A36" s="240" t="s">
        <v>537</v>
      </c>
      <c r="B36" s="241" t="s">
        <v>538</v>
      </c>
      <c r="C36" s="242" t="s">
        <v>539</v>
      </c>
      <c r="D36" s="242"/>
      <c r="E36" s="242"/>
      <c r="F36" s="239"/>
    </row>
    <row r="37" spans="1:6">
      <c r="A37" s="243" t="s">
        <v>516</v>
      </c>
      <c r="B37" s="244" t="s">
        <v>453</v>
      </c>
      <c r="C37" s="245" t="s">
        <v>540</v>
      </c>
      <c r="D37" s="245"/>
      <c r="E37" s="245"/>
      <c r="F37" s="239"/>
    </row>
    <row r="38" spans="1:6">
      <c r="A38" s="240" t="s">
        <v>518</v>
      </c>
      <c r="B38" s="241" t="s">
        <v>541</v>
      </c>
      <c r="C38" s="242" t="s">
        <v>542</v>
      </c>
      <c r="D38" s="242"/>
      <c r="E38" s="242"/>
      <c r="F38" s="239"/>
    </row>
    <row r="39" spans="1:6">
      <c r="A39" s="243" t="s">
        <v>543</v>
      </c>
      <c r="B39" s="244" t="s">
        <v>506</v>
      </c>
      <c r="C39" s="245" t="s">
        <v>544</v>
      </c>
      <c r="D39" s="245"/>
      <c r="E39" s="245"/>
      <c r="F39" s="239"/>
    </row>
    <row r="40" spans="1:6">
      <c r="A40" s="240" t="s">
        <v>545</v>
      </c>
      <c r="B40" s="241" t="s">
        <v>474</v>
      </c>
      <c r="C40" s="242" t="s">
        <v>546</v>
      </c>
      <c r="D40" s="242"/>
      <c r="E40" s="242"/>
      <c r="F40" s="239"/>
    </row>
    <row r="41" spans="1:6">
      <c r="A41" s="249" t="s">
        <v>547</v>
      </c>
      <c r="B41" s="260"/>
      <c r="C41" s="260"/>
      <c r="D41" s="239"/>
      <c r="E41" s="239"/>
      <c r="F41" s="239"/>
    </row>
    <row r="42" spans="1:6" ht="29.25">
      <c r="A42" s="240" t="s">
        <v>495</v>
      </c>
      <c r="B42" s="241" t="s">
        <v>548</v>
      </c>
      <c r="C42" s="242" t="s">
        <v>549</v>
      </c>
      <c r="D42" s="242"/>
      <c r="E42" s="242"/>
      <c r="F42" s="239"/>
    </row>
    <row r="43" spans="1:6">
      <c r="A43" s="243" t="s">
        <v>498</v>
      </c>
      <c r="B43" s="244" t="s">
        <v>453</v>
      </c>
      <c r="C43" s="245" t="s">
        <v>550</v>
      </c>
      <c r="D43" s="245"/>
      <c r="E43" s="245"/>
      <c r="F43" s="239"/>
    </row>
    <row r="44" spans="1:6">
      <c r="A44" s="240" t="s">
        <v>518</v>
      </c>
      <c r="B44" s="241" t="s">
        <v>551</v>
      </c>
      <c r="C44" s="242" t="s">
        <v>552</v>
      </c>
      <c r="D44" s="242"/>
      <c r="E44" s="242"/>
      <c r="F44" s="239"/>
    </row>
    <row r="45" spans="1:6" ht="15.75">
      <c r="A45" s="243" t="s">
        <v>553</v>
      </c>
      <c r="B45" s="244" t="s">
        <v>554</v>
      </c>
      <c r="C45" s="245" t="s">
        <v>555</v>
      </c>
      <c r="D45" s="245"/>
      <c r="E45" s="245"/>
      <c r="F45" s="239"/>
    </row>
    <row r="46" spans="1:6">
      <c r="A46" s="249" t="s">
        <v>556</v>
      </c>
      <c r="B46" s="260"/>
      <c r="C46" s="260"/>
      <c r="D46" s="239"/>
      <c r="E46" s="239"/>
      <c r="F46" s="239"/>
    </row>
    <row r="47" spans="1:6" ht="29.25">
      <c r="A47" s="240" t="s">
        <v>537</v>
      </c>
      <c r="B47" s="241" t="s">
        <v>557</v>
      </c>
      <c r="C47" s="242" t="s">
        <v>558</v>
      </c>
      <c r="D47" s="242"/>
      <c r="E47" s="242"/>
      <c r="F47" s="239"/>
    </row>
    <row r="48" spans="1:6">
      <c r="A48" s="243" t="s">
        <v>516</v>
      </c>
      <c r="B48" s="244" t="s">
        <v>453</v>
      </c>
      <c r="C48" s="245" t="s">
        <v>559</v>
      </c>
      <c r="D48" s="245"/>
      <c r="E48" s="245"/>
      <c r="F48" s="239"/>
    </row>
    <row r="49" spans="1:6">
      <c r="A49" s="240" t="s">
        <v>560</v>
      </c>
      <c r="B49" s="241" t="s">
        <v>561</v>
      </c>
      <c r="C49" s="242" t="s">
        <v>562</v>
      </c>
      <c r="D49" s="242"/>
      <c r="E49" s="242"/>
      <c r="F49" s="239"/>
    </row>
    <row r="50" spans="1:6">
      <c r="A50" s="243" t="s">
        <v>522</v>
      </c>
      <c r="B50" s="244" t="s">
        <v>563</v>
      </c>
      <c r="C50" s="245" t="s">
        <v>564</v>
      </c>
      <c r="D50" s="245"/>
      <c r="E50" s="245"/>
      <c r="F50" s="239"/>
    </row>
    <row r="51" spans="1:6">
      <c r="A51" s="249" t="s">
        <v>565</v>
      </c>
      <c r="B51" s="260"/>
      <c r="C51" s="260"/>
      <c r="D51" s="239"/>
      <c r="E51" s="239"/>
      <c r="F51" s="239"/>
    </row>
    <row r="52" spans="1:6">
      <c r="A52" s="240" t="s">
        <v>566</v>
      </c>
      <c r="B52" s="241" t="s">
        <v>567</v>
      </c>
      <c r="C52" s="242" t="s">
        <v>568</v>
      </c>
      <c r="D52" s="242"/>
      <c r="E52" s="242"/>
      <c r="F52" s="239"/>
    </row>
    <row r="53" spans="1:6">
      <c r="A53" s="243" t="s">
        <v>569</v>
      </c>
      <c r="B53" s="244" t="s">
        <v>453</v>
      </c>
      <c r="C53" s="245" t="s">
        <v>570</v>
      </c>
      <c r="D53" s="245"/>
      <c r="E53" s="245"/>
      <c r="F53" s="239"/>
    </row>
    <row r="54" spans="1:6">
      <c r="A54" s="240" t="s">
        <v>571</v>
      </c>
      <c r="B54" s="241" t="s">
        <v>572</v>
      </c>
      <c r="C54" s="242" t="s">
        <v>573</v>
      </c>
      <c r="D54" s="242"/>
      <c r="E54" s="242"/>
      <c r="F54" s="239"/>
    </row>
    <row r="55" spans="1:6">
      <c r="A55" s="243" t="s">
        <v>574</v>
      </c>
      <c r="B55" s="244" t="s">
        <v>575</v>
      </c>
      <c r="C55" s="245" t="s">
        <v>576</v>
      </c>
      <c r="D55" s="245"/>
      <c r="E55" s="245"/>
      <c r="F55" s="239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hyperlinks>
    <hyperlink ref="F4" r:id="rId1" xr:uid="{6D84B550-56D9-418A-9D1C-EC3261D9DE2C}"/>
    <hyperlink ref="F8" r:id="rId2" xr:uid="{362D1549-C6B0-4DBA-AF53-F162C8958291}"/>
    <hyperlink ref="F9" r:id="rId3" xr:uid="{ABA130E2-28CF-48C2-9144-36C703EF636A}"/>
    <hyperlink ref="F13" r:id="rId4" xr:uid="{E5CCB325-1CF9-4D32-BBF7-BAFC64ADBA13}"/>
    <hyperlink ref="F15" r:id="rId5" xr:uid="{E2214F55-DBDD-417E-89D1-CBE8A004BF1C}"/>
    <hyperlink ref="F20" r:id="rId6" xr:uid="{83714BB7-E198-4AF2-9E3F-F0EB6C640209}"/>
    <hyperlink ref="F22" r:id="rId7" xr:uid="{3D986609-D1AD-40CD-9D91-B61C2D40A5ED}"/>
    <hyperlink ref="F23" r:id="rId8" xr:uid="{9191FE3F-DA50-42C9-A969-CB2607764014}"/>
    <hyperlink ref="F6" r:id="rId9" xr:uid="{1A57CA13-D567-426E-8F5E-D61428112166}"/>
    <hyperlink ref="E6" r:id="rId10" xr:uid="{AD9D2A23-197E-48AD-BEB3-D183F57E51A7}"/>
    <hyperlink ref="E8" r:id="rId11" xr:uid="{C57DE3BC-5611-4857-AF68-85AE0077E820}"/>
    <hyperlink ref="E5" r:id="rId12" xr:uid="{51324F1C-9EC8-4171-933D-4D6E14F3B038}"/>
    <hyperlink ref="E9" r:id="rId13" xr:uid="{2B5871D6-0326-4F93-B09F-9BD757F4381C}"/>
    <hyperlink ref="E10" r:id="rId14" xr:uid="{A32D7BDB-2BBC-4255-9428-0E5F6DEE5AE6}"/>
  </hyperlinks>
  <pageMargins left="0.7" right="0.7" top="0.75" bottom="0.75" header="0.3" footer="0.3"/>
  <pageSetup paperSize="9" fitToHeight="0" orientation="landscape" r:id="rId1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9486CE-8728-40BE-973B-B64C7CD06C40}"/>
</file>

<file path=customXml/itemProps2.xml><?xml version="1.0" encoding="utf-8"?>
<ds:datastoreItem xmlns:ds="http://schemas.openxmlformats.org/officeDocument/2006/customXml" ds:itemID="{EC6EF48D-28DC-4A85-AE0A-77598A9ABE97}"/>
</file>

<file path=customXml/itemProps3.xml><?xml version="1.0" encoding="utf-8"?>
<ds:datastoreItem xmlns:ds="http://schemas.openxmlformats.org/officeDocument/2006/customXml" ds:itemID="{D8E275EF-C000-4518-B0F8-FE9A60820B5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Người dùng Khách</cp:lastModifiedBy>
  <cp:revision/>
  <dcterms:created xsi:type="dcterms:W3CDTF">2024-04-28T12:03:41Z</dcterms:created>
  <dcterms:modified xsi:type="dcterms:W3CDTF">2026-09-15T12:50:12Z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