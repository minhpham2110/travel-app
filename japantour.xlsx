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scvn-my.sharepoint.com/personal/minhpq_bsc_com_vn/Documents/09_CODER/00_travel-app/"/>
    </mc:Choice>
  </mc:AlternateContent>
  <xr:revisionPtr revIDLastSave="239" documentId="13_ncr:1_{4CBA3FCD-3F21-4F99-9320-E2DF1148D8FA}" xr6:coauthVersionLast="47" xr6:coauthVersionMax="47" xr10:uidLastSave="{E4EAD76F-4DF5-4D69-89D2-96B3009EE5BA}"/>
  <bookViews>
    <workbookView xWindow="-120" yWindow="-120" windowWidth="38640" windowHeight="21120" tabRatio="458" activeTab="4" xr2:uid="{1D34A874-FA64-408A-8A73-D0DA492D543E}"/>
  </bookViews>
  <sheets>
    <sheet name="CHI PHÍ" sheetId="5" state="hidden" r:id="rId1"/>
    <sheet name="LỊCH TRÌNH" sheetId="6" state="hidden" r:id="rId2"/>
    <sheet name="2026 HAKUBA" sheetId="12" state="hidden" r:id="rId3"/>
    <sheet name="2025" sheetId="8" state="hidden" r:id="rId4"/>
    <sheet name="2026" sheetId="16" r:id="rId5"/>
  </sheets>
  <definedNames>
    <definedName name="bigmeal">#REF!</definedName>
    <definedName name="morning">#REF!</definedName>
    <definedName name="specialmeal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3" i="12" l="1"/>
  <c r="H107" i="12"/>
  <c r="H105" i="12"/>
  <c r="H104" i="12"/>
  <c r="H101" i="12"/>
  <c r="H100" i="12"/>
  <c r="H98" i="12"/>
  <c r="H99" i="12"/>
  <c r="H96" i="12"/>
  <c r="E60" i="12"/>
  <c r="H60" i="12" s="1"/>
  <c r="E91" i="12"/>
  <c r="H91" i="12" s="1"/>
  <c r="E92" i="12"/>
  <c r="H92" i="12" s="1"/>
  <c r="H95" i="12"/>
  <c r="A94" i="12"/>
  <c r="E112" i="12"/>
  <c r="H112" i="12" s="1"/>
  <c r="E90" i="12"/>
  <c r="H90" i="12" s="1"/>
  <c r="H89" i="12"/>
  <c r="H121" i="12" s="1"/>
  <c r="H122" i="12" s="1"/>
  <c r="E88" i="12"/>
  <c r="H88" i="12" s="1"/>
  <c r="E80" i="12"/>
  <c r="H80" i="12" s="1"/>
  <c r="H82" i="12"/>
  <c r="E83" i="12"/>
  <c r="H83" i="12" s="1"/>
  <c r="H87" i="12"/>
  <c r="H81" i="12"/>
  <c r="H76" i="12"/>
  <c r="H77" i="12"/>
  <c r="H78" i="12"/>
  <c r="H79" i="12"/>
  <c r="H75" i="12"/>
  <c r="H86" i="12"/>
  <c r="A85" i="12"/>
  <c r="E72" i="12"/>
  <c r="H72" i="12" s="1"/>
  <c r="E71" i="12"/>
  <c r="H71" i="12" s="1"/>
  <c r="H70" i="12"/>
  <c r="H69" i="12"/>
  <c r="H68" i="12"/>
  <c r="H67" i="12"/>
  <c r="H66" i="12"/>
  <c r="E65" i="12"/>
  <c r="H65" i="12" s="1"/>
  <c r="H64" i="12"/>
  <c r="E61" i="12"/>
  <c r="H61" i="12" s="1"/>
  <c r="A63" i="12"/>
  <c r="H58" i="12"/>
  <c r="H59" i="12"/>
  <c r="E57" i="12"/>
  <c r="H57" i="12" s="1"/>
  <c r="H46" i="12"/>
  <c r="H40" i="12"/>
  <c r="H120" i="12" s="1"/>
  <c r="I120" i="12" s="1"/>
  <c r="E43" i="12"/>
  <c r="H43" i="12" s="1"/>
  <c r="A45" i="12"/>
  <c r="H42" i="12"/>
  <c r="E39" i="12"/>
  <c r="H39" i="12" s="1"/>
  <c r="H33" i="12"/>
  <c r="A32" i="12" l="1"/>
  <c r="A12" i="12"/>
  <c r="E23" i="12"/>
  <c r="H23" i="12" s="1"/>
  <c r="E16" i="12"/>
  <c r="H16" i="12" s="1"/>
  <c r="E13" i="12"/>
  <c r="H13" i="12" s="1"/>
  <c r="H21" i="12"/>
  <c r="H15" i="12"/>
  <c r="H17" i="12"/>
  <c r="H18" i="12"/>
  <c r="H19" i="12"/>
  <c r="H20" i="12"/>
  <c r="H22" i="12"/>
  <c r="A110" i="12"/>
  <c r="A103" i="12"/>
  <c r="A74" i="12"/>
  <c r="H113" i="12"/>
  <c r="H47" i="12"/>
  <c r="H6" i="12"/>
  <c r="H5" i="12"/>
  <c r="E51" i="8"/>
  <c r="H48" i="8"/>
  <c r="E48" i="8"/>
  <c r="A32" i="8"/>
  <c r="E139" i="8"/>
  <c r="H139" i="8" s="1"/>
  <c r="A132" i="8"/>
  <c r="H69" i="8"/>
  <c r="H80" i="8"/>
  <c r="H74" i="8"/>
  <c r="H77" i="8"/>
  <c r="H76" i="8"/>
  <c r="A70" i="8"/>
  <c r="H72" i="8"/>
  <c r="H38" i="8"/>
  <c r="H118" i="12" l="1"/>
  <c r="H119" i="12" s="1"/>
  <c r="I118" i="12"/>
  <c r="I119" i="12" s="1"/>
  <c r="E39" i="8"/>
  <c r="E26" i="8"/>
  <c r="H26" i="8" s="1"/>
  <c r="H53" i="8"/>
  <c r="E52" i="8"/>
  <c r="H52" i="8" s="1"/>
  <c r="H31" i="8"/>
  <c r="I30" i="8"/>
  <c r="H30" i="8"/>
  <c r="H33" i="8"/>
  <c r="E162" i="8"/>
  <c r="H162" i="8" s="1"/>
  <c r="E58" i="8"/>
  <c r="H58" i="8" s="1"/>
  <c r="E130" i="8"/>
  <c r="H130" i="8" s="1"/>
  <c r="E82" i="8"/>
  <c r="H82" i="8" s="1"/>
  <c r="E20" i="8"/>
  <c r="H20" i="8" s="1"/>
  <c r="E17" i="8"/>
  <c r="H17" i="8" s="1"/>
  <c r="H8" i="8"/>
  <c r="A148" i="8"/>
  <c r="E149" i="8"/>
  <c r="A155" i="8"/>
  <c r="H163" i="8"/>
  <c r="H84" i="8"/>
  <c r="A104" i="8"/>
  <c r="A87" i="8"/>
  <c r="A55" i="8"/>
  <c r="A14" i="8"/>
  <c r="E143" i="8"/>
  <c r="E138" i="8"/>
  <c r="E101" i="8"/>
  <c r="E94" i="8"/>
  <c r="E75" i="8"/>
  <c r="E68" i="8"/>
  <c r="E83" i="8"/>
  <c r="E50" i="8"/>
  <c r="E158" i="8"/>
  <c r="E133" i="8"/>
  <c r="H114" i="8"/>
  <c r="E110" i="8"/>
  <c r="E108" i="8"/>
  <c r="E105" i="8"/>
  <c r="H90" i="8"/>
  <c r="E88" i="8"/>
  <c r="E56" i="8"/>
  <c r="E37" i="8"/>
  <c r="H16" i="8"/>
  <c r="E7" i="8"/>
  <c r="H7" i="8" s="1"/>
  <c r="H6" i="8"/>
  <c r="H5" i="8"/>
  <c r="H153" i="8" l="1"/>
  <c r="H151" i="8"/>
  <c r="H152" i="8"/>
  <c r="H150" i="8"/>
  <c r="H149" i="8"/>
  <c r="H127" i="8"/>
  <c r="H50" i="8"/>
  <c r="H143" i="8"/>
  <c r="H39" i="8"/>
  <c r="H136" i="8"/>
  <c r="H161" i="8"/>
  <c r="H160" i="8"/>
  <c r="H159" i="8"/>
  <c r="H138" i="8"/>
  <c r="H129" i="8"/>
  <c r="H117" i="8"/>
  <c r="H96" i="8"/>
  <c r="H86" i="8"/>
  <c r="H75" i="8"/>
  <c r="H23" i="8"/>
  <c r="H68" i="8"/>
  <c r="H107" i="8"/>
  <c r="H108" i="8"/>
  <c r="H37" i="8"/>
  <c r="H67" i="8"/>
  <c r="H105" i="8"/>
  <c r="H113" i="8"/>
  <c r="H137" i="8"/>
  <c r="H158" i="8"/>
  <c r="H54" i="8"/>
  <c r="H88" i="8"/>
  <c r="H119" i="8"/>
  <c r="H46" i="8"/>
  <c r="H89" i="8"/>
  <c r="H109" i="8"/>
  <c r="H120" i="8"/>
  <c r="H133" i="8"/>
  <c r="H142" i="8"/>
  <c r="H146" i="8"/>
  <c r="H56" i="8"/>
  <c r="H71" i="8"/>
  <c r="H122" i="8"/>
  <c r="H134" i="8"/>
  <c r="H25" i="8"/>
  <c r="H49" i="8"/>
  <c r="H57" i="8"/>
  <c r="H73" i="8"/>
  <c r="H83" i="8"/>
  <c r="H101" i="8"/>
  <c r="H110" i="8"/>
  <c r="H126" i="8"/>
  <c r="H135" i="8"/>
  <c r="H157" i="8"/>
  <c r="H51" i="8"/>
  <c r="H81" i="8"/>
  <c r="H94" i="8"/>
  <c r="H111" i="8"/>
  <c r="I165" i="8" l="1"/>
  <c r="I166" i="8" s="1"/>
  <c r="H165" i="8"/>
  <c r="H166" i="8" s="1"/>
  <c r="H23" i="6"/>
  <c r="H139" i="6"/>
  <c r="H136" i="6"/>
  <c r="E133" i="6"/>
  <c r="H133" i="6" s="1"/>
  <c r="H132" i="6"/>
  <c r="H128" i="6"/>
  <c r="H126" i="6"/>
  <c r="H149" i="6"/>
  <c r="H138" i="6"/>
  <c r="H137" i="6"/>
  <c r="H169" i="6"/>
  <c r="H157" i="6"/>
  <c r="H153" i="6"/>
  <c r="H151" i="6"/>
  <c r="H150" i="6"/>
  <c r="H124" i="6"/>
  <c r="H123" i="6"/>
  <c r="H122" i="6"/>
  <c r="E120" i="6"/>
  <c r="H120" i="6" s="1"/>
  <c r="H119" i="6"/>
  <c r="H118" i="6"/>
  <c r="E116" i="6"/>
  <c r="H116" i="6" s="1"/>
  <c r="E111" i="6"/>
  <c r="H111" i="6" s="1"/>
  <c r="H109" i="6"/>
  <c r="H161" i="6"/>
  <c r="E162" i="6"/>
  <c r="H162" i="6" s="1"/>
  <c r="H164" i="6"/>
  <c r="H168" i="6"/>
  <c r="H167" i="6"/>
  <c r="H166" i="6"/>
  <c r="H165" i="6"/>
  <c r="E43" i="6"/>
  <c r="H43" i="6" s="1"/>
  <c r="E25" i="6"/>
  <c r="H25" i="6" s="1"/>
  <c r="E143" i="6"/>
  <c r="H24" i="6"/>
  <c r="H145" i="6"/>
  <c r="H146" i="6"/>
  <c r="H147" i="6"/>
  <c r="H148" i="6"/>
  <c r="H144" i="6"/>
  <c r="H143" i="6"/>
  <c r="E90" i="6"/>
  <c r="H90" i="6" s="1"/>
  <c r="E75" i="6"/>
  <c r="H75" i="6" s="1"/>
  <c r="E72" i="6"/>
  <c r="E60" i="6"/>
  <c r="H60" i="6" s="1"/>
  <c r="E32" i="6"/>
  <c r="H32" i="6" s="1"/>
  <c r="H88" i="6"/>
  <c r="H92" i="6"/>
  <c r="H104" i="6"/>
  <c r="E102" i="6"/>
  <c r="H102" i="6" s="1"/>
  <c r="H99" i="6"/>
  <c r="H97" i="6"/>
  <c r="H91" i="6"/>
  <c r="E33" i="6"/>
  <c r="H33" i="6" s="1"/>
  <c r="E84" i="6"/>
  <c r="E80" i="6"/>
  <c r="E49" i="6"/>
  <c r="E22" i="6"/>
  <c r="H84" i="6"/>
  <c r="H86" i="6"/>
  <c r="F5" i="5"/>
  <c r="H83" i="6"/>
  <c r="H81" i="6"/>
  <c r="H85" i="6"/>
  <c r="H80" i="6"/>
  <c r="H77" i="6"/>
  <c r="H76" i="6"/>
  <c r="H82" i="6"/>
  <c r="H79" i="6"/>
  <c r="H53" i="6"/>
  <c r="H52" i="6"/>
  <c r="H49" i="6"/>
  <c r="H48" i="6"/>
  <c r="H36" i="6"/>
  <c r="H35" i="6"/>
  <c r="H34" i="6"/>
  <c r="H47" i="6"/>
  <c r="H45" i="6"/>
  <c r="H28" i="6"/>
  <c r="H72" i="6"/>
  <c r="H71" i="6"/>
  <c r="H61" i="6"/>
  <c r="H62" i="6"/>
  <c r="H20" i="6"/>
  <c r="H17" i="6"/>
  <c r="E5" i="6"/>
  <c r="H5" i="6" s="1"/>
  <c r="H4" i="6"/>
  <c r="H13" i="6"/>
  <c r="H22" i="6"/>
  <c r="H14" i="6"/>
  <c r="H3" i="6"/>
  <c r="H171" i="6" s="1"/>
  <c r="H172" i="6" s="1"/>
  <c r="F11" i="5"/>
  <c r="H11" i="5" s="1"/>
  <c r="F12" i="5"/>
  <c r="H12" i="5" s="1"/>
  <c r="H10" i="5"/>
  <c r="F9" i="5"/>
  <c r="H9" i="5" s="1"/>
  <c r="F7" i="5"/>
  <c r="H7" i="5" s="1"/>
  <c r="H4" i="5"/>
  <c r="F6" i="5"/>
  <c r="H6" i="5" s="1"/>
  <c r="H5" i="5"/>
  <c r="F3" i="5"/>
  <c r="H3" i="5" s="1"/>
  <c r="F2" i="5"/>
  <c r="H2" i="5" s="1"/>
  <c r="H14" i="5" s="1"/>
</calcChain>
</file>

<file path=xl/sharedStrings.xml><?xml version="1.0" encoding="utf-8"?>
<sst xmlns="http://schemas.openxmlformats.org/spreadsheetml/2006/main" count="1045" uniqueCount="612">
  <si>
    <t>Đơn giá</t>
  </si>
  <si>
    <t>Số lượng</t>
  </si>
  <si>
    <t>Tỷ giá</t>
  </si>
  <si>
    <t>Thành tiền</t>
  </si>
  <si>
    <t>Chia tiền</t>
  </si>
  <si>
    <t>Máy bay</t>
  </si>
  <si>
    <t>Visa</t>
  </si>
  <si>
    <t>Khách sạn Tokyo 3 đêm</t>
  </si>
  <si>
    <t>https://www.airbnb.com.vn/rooms/1274382763802396122?adults=3&amp;check_in=2025-06-02&amp;check_out=2025-06-05&amp;search_mode=regular_search&amp;category_tag=Tag%3A8678&amp;photo_id=2017378953&amp;source_impression_id=p3_1740757008_P3oVXV6Me3Xj-5A6&amp;previous_page_section_name=1000&amp;federated_search_id=84f3ff16-cbe7-440c-97b2-32eee3ddc960</t>
  </si>
  <si>
    <t>Khách sạn Osaka 3 đêm</t>
  </si>
  <si>
    <t>https://www.booking.com/hotel/jp/yumemeng-dong-wu-yuan-qian-dian.vi.html?aid=304142&amp;label=gen173nr-1FCAEoggI46AdIM1gEaPQBiAEBmAEquAEHyAEM2AEB6AEB-AEMiAIBqAIDuAL0q4e-BsACAdICJDEyNWM1N2QxLWE0NmItNDY5Zi05N2Q5LTUwNzRmMDZkN2E3ZdgCBuACAQ&amp;sid=46795f6f90f0a66db4de81dfd058d038&amp;all_sr_blocks=1269644802_400782651_3_0_0&amp;checkin=2025-06-06&amp;checkout=2025-06-09&amp;dest_id=-240905&amp;dest_type=city&amp;dist=0&amp;group_adults=3&amp;group_children=0&amp;hapos=9&amp;highlighted_blocks=1269644802_400782651_3_0_0&amp;hpos=9&amp;matching_block_id=1269644802_400782651_3_0_0&amp;no_rooms=1&amp;req_adults=3&amp;req_children=0&amp;room1=A%2CA%2CA&amp;sb_price_type=total&amp;sr_order=popularity&amp;sr_pri_blocks=1269644802_400782651_3_0_0__1620000&amp;srepoch=1740758663&amp;srpvid=db4070b93c0302b0&amp;type=total&amp;ucfs=1&amp;</t>
  </si>
  <si>
    <t>Khách sạn Kyoto 3 đêm</t>
  </si>
  <si>
    <t>Tàu Shinkanshen Tokyo Ky</t>
  </si>
  <si>
    <t>Tàu Shinkanshen Kyoto Osaka</t>
  </si>
  <si>
    <t>Chi phí linh tinh 1 ngày</t>
  </si>
  <si>
    <t>Chi phí ăn</t>
  </si>
  <si>
    <t>DisneyLand</t>
  </si>
  <si>
    <t>Tổng</t>
  </si>
  <si>
    <t>JPY</t>
  </si>
  <si>
    <t>Chi phí mua trước</t>
  </si>
  <si>
    <t>Tokyo Pass 72 giờ + Skyliner 1 chiều</t>
  </si>
  <si>
    <t>https://www.keisei.co.jp/keisei/tetudou/skyliner/us/tickets/subway.php</t>
  </si>
  <si>
    <t>VND</t>
  </si>
  <si>
    <t>Sim data</t>
  </si>
  <si>
    <t xml:space="preserve">Budget bữa ăn </t>
  </si>
  <si>
    <t xml:space="preserve">Chi phí ăn 1 bữa ăn trưa hoặc ăn tối/ 3 người </t>
  </si>
  <si>
    <t xml:space="preserve">Chi phí ăn sáng /3 người </t>
  </si>
  <si>
    <t>Chi phí ăn vặt/ 3 người</t>
  </si>
  <si>
    <t>Ngày 1: 14/6/2025 - Thứ 6</t>
  </si>
  <si>
    <t>Sân bay Nội Bài</t>
  </si>
  <si>
    <t>- Taxi</t>
  </si>
  <si>
    <t>- HAN - NRT</t>
  </si>
  <si>
    <t>- Ăn sáng - tự chuẩn bị</t>
  </si>
  <si>
    <t>Sân bay Narita - Terminal 2-3</t>
  </si>
  <si>
    <t>NRT - Ga JR Yamanote Line (Sugamo Station)</t>
  </si>
  <si>
    <t>Toshima City -4 ngày</t>
  </si>
  <si>
    <t>- NRT - Nippori Station</t>
  </si>
  <si>
    <t>Chuyển tuyến</t>
  </si>
  <si>
    <t>- Nippori Station - Sugamo Station</t>
  </si>
  <si>
    <t>Mua vé Yamanote Line</t>
  </si>
  <si>
    <t>- Sugamo - Airbnb (5 phút đi bộ)</t>
  </si>
  <si>
    <t>Airbnb - Ăn tối - Phố mua sắm</t>
  </si>
  <si>
    <t>- Ăn tối</t>
  </si>
  <si>
    <t>Gyukatsu Motomura Shibuya</t>
  </si>
  <si>
    <t>- Đi Shibuya Sky</t>
  </si>
  <si>
    <t>shibuya sky</t>
  </si>
  <si>
    <t>- Cafe ăn vặt</t>
  </si>
  <si>
    <t>Ngày 2: 15/6/2025 - Thứ 7 - SENSOJI - SETEGAYA - SHIBUJA - SHINJUKU</t>
  </si>
  <si>
    <t>Di chuyển từ Sugamo - Sensoji</t>
  </si>
  <si>
    <t>- Sugamo - Ueno Station (Yamanote line YR)</t>
  </si>
  <si>
    <t>- Ueno - Asakusa Station (Ginza line)</t>
  </si>
  <si>
    <t>Chùa Sensoji - Check in với đèn lồng Kaminarimon</t>
  </si>
  <si>
    <t>Taito, miễn phí vé</t>
  </si>
  <si>
    <t>Ăn sáng ở 7 Eleven/ Family Mart</t>
  </si>
  <si>
    <t>Đi ra Tháp Tokyo Tower</t>
  </si>
  <si>
    <t>- Asakusa Station - Daimon Station</t>
  </si>
  <si>
    <t>Đi xe buýt từ Toranomon-Gochōme đến Shibuya-Nichōme (Shibuya 2)</t>
  </si>
  <si>
    <t>Ăn chơi ở Shibuya</t>
  </si>
  <si>
    <t>ichiran ramen shibuya</t>
  </si>
  <si>
    <t>Shibuya - Tượng Hachiko</t>
  </si>
  <si>
    <t>Tower Records Shibuya</t>
  </si>
  <si>
    <t>Shibuya 109</t>
  </si>
  <si>
    <t>Parco Shibuya -Pokemon Center Shibuya</t>
  </si>
  <si>
    <t>MODI Shibuya</t>
  </si>
  <si>
    <t>Shibuya Crossing</t>
  </si>
  <si>
    <t xml:space="preserve"> - Cafe ăn vặt</t>
  </si>
  <si>
    <t>Fujiko · F · Fujio Museum - Bảo tàng Doraemon</t>
  </si>
  <si>
    <t>- Đi bộ ra Asakusa Station - Omote-Sando Station (Ginza Line)</t>
  </si>
  <si>
    <t>1:30 min</t>
  </si>
  <si>
    <t>- Omote Sando Station - Mukogaoka-Yuen Station (Odakyu Line)</t>
  </si>
  <si>
    <t>Bảo tàng Doraemon</t>
  </si>
  <si>
    <t>10:00 a.m. to 6:00 p.m.
(entrance deadline 5:00 p.m.) Vé 1000 Yen/Adults</t>
  </si>
  <si>
    <t>Đi tàu sang Shinjuku ăn (Odakyu Line)</t>
  </si>
  <si>
    <t>Ăn tối</t>
  </si>
  <si>
    <t>3D Cat Cross Shinjuku Space</t>
  </si>
  <si>
    <t>Shijuku Omoide Yokocho</t>
  </si>
  <si>
    <t>- Đi Akihabara Electric Town (Shinjuku Line)</t>
  </si>
  <si>
    <t>Về khách sạn</t>
  </si>
  <si>
    <t>Nonbei Yokocho</t>
  </si>
  <si>
    <t>Con hẻm nhỏ với các quán Izakaya phong cách cổ điển</t>
  </si>
  <si>
    <t>Omoide Yokocho</t>
  </si>
  <si>
    <t>Đi về nhà</t>
  </si>
  <si>
    <t xml:space="preserve">Ngày 3: 16/6/2025 - Chủ Nhật - Tour Phú Sĩ - Mua Tour </t>
  </si>
  <si>
    <t>https://www.klook.com/vi/activity/131587-mount-fuji-photogenic-tour-with-lunch-option-from-tokyo/</t>
  </si>
  <si>
    <t>Ăn sáng ở nhà trước</t>
  </si>
  <si>
    <t>Khách sạn - Tokyo Station</t>
  </si>
  <si>
    <t>Chi phí tour</t>
  </si>
  <si>
    <t>Hoặc 1 triệu/người nếu tự túc ăn trưa, nên đi buổi sáng để chụp không ngược nắng</t>
  </si>
  <si>
    <t>Công viên Arakurayma Sengen - 1 hour</t>
  </si>
  <si>
    <t>Hikawa Clock Shop - 20 min</t>
  </si>
  <si>
    <t>Oshino Hakkai - 1.5 hour</t>
  </si>
  <si>
    <t>LAWSON Kawaguchiko Station - 20 min</t>
  </si>
  <si>
    <t>Hồ Kawaguchi - 10 min</t>
  </si>
  <si>
    <t>Công viên Oishi</t>
  </si>
  <si>
    <t>Quay về</t>
  </si>
  <si>
    <t>Tokyo Station - Khách sạn</t>
  </si>
  <si>
    <t>Tắm ONSEN</t>
  </si>
  <si>
    <t>Ngày 4: 17/6/2025 - Museum - KYOTO</t>
  </si>
  <si>
    <t>Ăn sáng ở Family Mart</t>
  </si>
  <si>
    <t>Khách sạn - Tokyo Station + Check out</t>
  </si>
  <si>
    <t>Gửi Coin Locker</t>
  </si>
  <si>
    <t>2 tủ</t>
  </si>
  <si>
    <t>Đi bộ chơi phố phường</t>
  </si>
  <si>
    <t>Art Aquarium Museum - Đi Bộ ra</t>
  </si>
  <si>
    <t>Mở cửa 10:00–19:00</t>
  </si>
  <si>
    <t xml:space="preserve">Ăn trưa, cafe </t>
  </si>
  <si>
    <t>Tokyo Station - Team Lab</t>
  </si>
  <si>
    <t>Team Lab Planets</t>
  </si>
  <si>
    <t>"Adults (18 Years and above)            　JPY 3,800
Junior high school / High school          JPY 2,800"</t>
  </si>
  <si>
    <t>Đi về Tokyo Station</t>
  </si>
  <si>
    <t>Đi tàu Shinkanshen - KYOTO</t>
  </si>
  <si>
    <t>JYP</t>
  </si>
  <si>
    <t>KYOTO - Khách sạn KyotoKiyamachiゲストハウス</t>
  </si>
  <si>
    <t>Gion Corner</t>
  </si>
  <si>
    <t>Đi bộ 750m</t>
  </si>
  <si>
    <t>LL caffè del giglio d'oro</t>
  </si>
  <si>
    <t>Đi bộ (650m từ musoshin) đi ăn matcha</t>
  </si>
  <si>
    <t>Ngày 5: 18/6/2025 - KYOTO</t>
  </si>
  <si>
    <t xml:space="preserve">Ăn sáng tại Family Mart </t>
  </si>
  <si>
    <t>Đi bộ 500m tới family mart</t>
  </si>
  <si>
    <t>Mua vé 2-day pass bus</t>
  </si>
  <si>
    <t>https://oneday-pass.kyoto/overview/sales/?lang=en</t>
  </si>
  <si>
    <t>Thuê Kimono</t>
  </si>
  <si>
    <t>Mua trước Klook</t>
  </si>
  <si>
    <t>Đi Fushimi Inari Taisha</t>
  </si>
  <si>
    <t>- Gion-Shijo Station tới Fushimi-Inari Station</t>
  </si>
  <si>
    <t>Đi bộ 280m - qua 5 điểm dừng - 350m</t>
  </si>
  <si>
    <t>- Tham quan Fushimi Inari Taisha</t>
  </si>
  <si>
    <t>Đi Toji Temple</t>
  </si>
  <si>
    <t>- Inari Station tới Kyoto Station Đi Nara Line</t>
  </si>
  <si>
    <t>Đi tàu</t>
  </si>
  <si>
    <t>- Tham quan Toji Temple</t>
  </si>
  <si>
    <t xml:space="preserve">Từ Toji tới Nishimarket - Đi Bus </t>
  </si>
  <si>
    <t>Shijo Omiya via Toji Temple and Kyoto Suizokukan (Kyoto Aquarium) 207 City B</t>
  </si>
  <si>
    <t>- Tham quan Nishiki Market</t>
  </si>
  <si>
    <t>Ăn trưa tại Nishi Market</t>
  </si>
  <si>
    <t>các món ăn nhỏ tại chợ</t>
  </si>
  <si>
    <t>Đi Arashiyama Bamboo Forest</t>
  </si>
  <si>
    <t>- Yamagoe via Shijo Karasuma (Subway Shijo Station) and Saga Arashiyama</t>
  </si>
  <si>
    <t>11 city bus</t>
  </si>
  <si>
    <t>- Chụp ảnh tại Togetsukyō Bridge</t>
  </si>
  <si>
    <t>- Tham quan ArashiYama Bamboo Forest</t>
  </si>
  <si>
    <t>Đi cafe ăn kem Matcha</t>
  </si>
  <si>
    <t>Pontocho</t>
  </si>
  <si>
    <t>- đi từ Nonomiya tới Kawaramachi Marutamachi</t>
  </si>
  <si>
    <t>93 City Bus</t>
  </si>
  <si>
    <t>- đi từ Kawaramachi Marutamachi tới Shijo Keihan-mae</t>
  </si>
  <si>
    <t>37 City Bus + đi bộ 150m</t>
  </si>
  <si>
    <t>Đi dạo + mua sắm đồ lưu niệm</t>
  </si>
  <si>
    <t>Quay về hostel</t>
  </si>
  <si>
    <t>Đi bộ 210m</t>
  </si>
  <si>
    <t>Ngày 6: 19/6/2025 - KYOTO - SAU ĐÓ OSAKA</t>
  </si>
  <si>
    <t>Ăn sáng tại Family Mart + Check out</t>
  </si>
  <si>
    <t xml:space="preserve">Samurai Museum </t>
  </si>
  <si>
    <t>Đi bộ 700m</t>
  </si>
  <si>
    <t>KyotoKiyamachiゲストハウス</t>
  </si>
  <si>
    <t>Quay lại hostel lấy đồ (bus)</t>
  </si>
  <si>
    <t>Osaka station</t>
  </si>
  <si>
    <t>Đi tàu từ hostel ra ga Osaka</t>
  </si>
  <si>
    <t>Đi từ Kyoto-Kawaramachi Station tới Osaka-Umeda Station</t>
  </si>
  <si>
    <t>Đi tuyến Hankyu-Kyoto Line</t>
  </si>
  <si>
    <t>Gửi hành lý ở coin lockers</t>
  </si>
  <si>
    <t>Okonomiyaki Kiji</t>
  </si>
  <si>
    <t>Đi bộ (800m) ăn trưa- bánh xèo Nhật</t>
  </si>
  <si>
    <t>Umeda sky building</t>
  </si>
  <si>
    <t>Đi bộ (1100m) đến toà nhà ngắm toàn cảnh + vé vào cửa</t>
  </si>
  <si>
    <t>Nanba Yasaka Jinja</t>
  </si>
  <si>
    <t>Umeda Station tới Namba Station</t>
  </si>
  <si>
    <t>Di chuyển từ khách sạn đến Tsūtenkaku</t>
  </si>
  <si>
    <t>Namba Station tới Dobutsuen-Mae Station</t>
  </si>
  <si>
    <t>Midosuji Line</t>
  </si>
  <si>
    <t>Tham quan Shinsekai</t>
  </si>
  <si>
    <t>Dontorburi</t>
  </si>
  <si>
    <t>"Các điểm tham quan:
1/ Dotonbori Konamon Museum (bánh bạch tuộc)
2/ Takoyaki Kukuru Dotonbori (bánh bạch tuộc)
3/ Dotonbori Glico Sign (biển hiệu Glico)
4/ Soemonchou (biển hiệu thị trấn Soemon)
5/ Kani Doraku Dotombori Nakamise (cua hoàng đế)
6/ Osaka Shochikuza Theatre (nhà hát kịch)
7/ Don Quijote Dotonbori (shopping tax free)
8/ Melon Bread
9/ Strawberry cake</t>
  </si>
  <si>
    <t>Ebisucho Station tới Nippombashi Station</t>
  </si>
  <si>
    <t>Đi tuyến Sakaisuji Line</t>
  </si>
  <si>
    <t>các món ăn vặt + check in</t>
  </si>
  <si>
    <t>Mua sắm + ăn vặt</t>
  </si>
  <si>
    <t>Namba station tới Umeda Station</t>
  </si>
  <si>
    <t>DOYANEN HOTELS YAMATO</t>
  </si>
  <si>
    <t>Đi từ Umeda Station tới Dobutsuen-Mae Station</t>
  </si>
  <si>
    <t>Tìm family mart mua đồ ăn sáng</t>
  </si>
  <si>
    <t>Ngày 8 20/6/2025 - ĐI NARA - CHƠI Ở OSAKA</t>
  </si>
  <si>
    <t>Ăn sáng</t>
  </si>
  <si>
    <t>Tōdai-ji</t>
  </si>
  <si>
    <t>Đi tàu từ hostel đến đền Tōdai-ji (khu Nara)</t>
  </si>
  <si>
    <t>Vé vào cửa</t>
  </si>
  <si>
    <t>Nara Park - Đông Đại Tự Đại Phật Đi</t>
  </si>
  <si>
    <t>_x0008_Đi bộ (27m) đến công viên Nara chơi với hươu</t>
  </si>
  <si>
    <t>Nakatanidou - Mochi show</t>
  </si>
  <si>
    <t>Đi bộ (600m) ăn bánh mochi</t>
  </si>
  <si>
    <t>Maguro Koya</t>
  </si>
  <si>
    <t>Ăn trưa cơm cá ngừ (cách Nara park 500m)</t>
  </si>
  <si>
    <t>Ikoma Sanjo Amusement park</t>
  </si>
  <si>
    <t>miễn phí giá vé + các trò chơi (lẻ/vé dài)</t>
  </si>
  <si>
    <t>Kintetsu-Nara Station tới Ikoma Station</t>
  </si>
  <si>
    <t>Đi tàu lên đỉnh núi</t>
  </si>
  <si>
    <t>500 yên/lượt</t>
  </si>
  <si>
    <t>Ikoma Station tới Kintetsu-Nippombashi Station</t>
  </si>
  <si>
    <t>Kura sushi</t>
  </si>
  <si>
    <t>Ngày 9 21/6/2025 - OSAKA</t>
  </si>
  <si>
    <t>check out khách sạn</t>
  </si>
  <si>
    <t>gửi vali ở khách sạn</t>
  </si>
  <si>
    <t>Gửi coin locker</t>
  </si>
  <si>
    <t>Đi từ khách sạn tới Nanba Yasaka Jinja</t>
  </si>
  <si>
    <t>Dobutsuen-Mae Station tới Daikokucho Station</t>
  </si>
  <si>
    <t>Cup Noodles Museum Osaka Ikeda</t>
  </si>
  <si>
    <t>Miễn phí giá vé + 500 yên/cốc tự làm</t>
  </si>
  <si>
    <t>Uokazu</t>
  </si>
  <si>
    <t>Ăn cơm trộn trứng cá hồi</t>
  </si>
  <si>
    <t>Quay lại hostel lấy đồ</t>
  </si>
  <si>
    <t>Kansai International Airport</t>
  </si>
  <si>
    <t>Di chuyển ra sân bay</t>
  </si>
  <si>
    <t>15:30 - 18:30</t>
  </si>
  <si>
    <t>Osaka -&gt; Hanoi</t>
  </si>
  <si>
    <t>Tổng cộng</t>
  </si>
  <si>
    <t>ĐI</t>
  </si>
  <si>
    <t>ĐẾN</t>
  </si>
  <si>
    <t>HOẠT ĐỘNG</t>
  </si>
  <si>
    <t>MÔ TẢ CHI TIẾT</t>
  </si>
  <si>
    <t>ĐƠN GIÁ</t>
  </si>
  <si>
    <t>SL</t>
  </si>
  <si>
    <t>ĐỒNG</t>
  </si>
  <si>
    <t>THÀNH TIỀN</t>
  </si>
  <si>
    <t>PREBOOK</t>
  </si>
  <si>
    <t>NOTE</t>
  </si>
  <si>
    <t>GIẢ ĐỊNH</t>
  </si>
  <si>
    <t>Done</t>
  </si>
  <si>
    <t>Sim data - 3GB</t>
  </si>
  <si>
    <t>Budget bữa ăn 3 người</t>
  </si>
  <si>
    <t xml:space="preserve">Chi phí ăn 1 bữa ăn trưa hoặc ăn tối/ người </t>
  </si>
  <si>
    <t xml:space="preserve">Chi phí ăn sáng /người </t>
  </si>
  <si>
    <t>Chi phí ăn vặt/ người</t>
  </si>
  <si>
    <t xml:space="preserve">Ngày bắt đầu </t>
  </si>
  <si>
    <t>Bay HAN - NRT</t>
  </si>
  <si>
    <t>DC</t>
  </si>
  <si>
    <t>Check in NRT</t>
  </si>
  <si>
    <t>NRT - Sugamo</t>
  </si>
  <si>
    <t>Skyliner to Nippori + Yamamote Line to Sugamo</t>
  </si>
  <si>
    <t>Ăn trưa</t>
  </si>
  <si>
    <t>Matsuya</t>
  </si>
  <si>
    <t>Khách sạn Sugamo</t>
  </si>
  <si>
    <t>KS</t>
  </si>
  <si>
    <t>Sugamo - Odaiba</t>
  </si>
  <si>
    <t>Transit at Shimbashi</t>
  </si>
  <si>
    <t>Bảo tàng Miraikan</t>
  </si>
  <si>
    <t>https://www.miraikan.jst.go.jp/</t>
  </si>
  <si>
    <t>Hoàng hôn Odaiba Seaside Park</t>
  </si>
  <si>
    <t>Ăn tối Monjayaki</t>
  </si>
  <si>
    <t>Ăn</t>
  </si>
  <si>
    <t>Odaiba - Sugamo</t>
  </si>
  <si>
    <t>Mua đồ ăn sáng</t>
  </si>
  <si>
    <t>Family Mart</t>
  </si>
  <si>
    <t>Một số hoạt động khác nếu có sức</t>
  </si>
  <si>
    <t>-Shinjuku Cat Café</t>
  </si>
  <si>
    <t>Alpen tokyo</t>
  </si>
  <si>
    <t>- 3D Cat Cross Shinjuku Space</t>
  </si>
  <si>
    <t xml:space="preserve"> -Shijuku Omoide Yokocho</t>
  </si>
  <si>
    <t>- Café ngắm tháp Tokyo Tower</t>
  </si>
  <si>
    <t>Tour Phú Sĩ</t>
  </si>
  <si>
    <t>- Honcho Street</t>
  </si>
  <si>
    <t>- Lake Yamanaka</t>
  </si>
  <si>
    <t>- Hồ Kawaguchiko</t>
  </si>
  <si>
    <t>- Oishi Park</t>
  </si>
  <si>
    <t>- Oshino hakkai</t>
  </si>
  <si>
    <t>Ăn trưa (không bao gồm trong Tour)</t>
  </si>
  <si>
    <t>Check in Khách sạn</t>
  </si>
  <si>
    <t>Lawson in front of Mt. Fuji</t>
  </si>
  <si>
    <t>Sushiro</t>
  </si>
  <si>
    <t>Thuê xe đạp gần Kawaguchikio Station</t>
  </si>
  <si>
    <t>-The Park Cafe</t>
  </si>
  <si>
    <t>https://www.instagram.com/reel/DWQMPH5AnNy/?utm_source=ig_web_copy_link&amp;igsh=MzRlODBiNWFlZA==</t>
  </si>
  <si>
    <t>-Jura Noire</t>
  </si>
  <si>
    <t>https://www.instagram.com/reel/DTrTr4zkg20/?utm_source=ig_web_copy_link&amp;igsh=MzRlODBiNWFlZA==</t>
  </si>
  <si>
    <t>-A M O R I F U J I - Cafe &amp; Pottery</t>
  </si>
  <si>
    <t>https://www.instagram.com/reel/DE0ox6wz5uu/?utm_source=ig_web_copy_link&amp;igsh=MzRlODBiNWFlZA==</t>
  </si>
  <si>
    <t>-Lake Bake Café</t>
  </si>
  <si>
    <t>https://maps.app.goo.gl/3PgttM59JZyvfGLZ9</t>
  </si>
  <si>
    <t>- Starbucks Fujikawa SA</t>
  </si>
  <si>
    <t>- Hồ Yamanaka - Board Walk</t>
  </si>
  <si>
    <t>https://maps.app.goo.gl/2J2cBE3oJ9siLCXB9</t>
  </si>
  <si>
    <t>-Fujisan Yume No Ōhashi Bridge - Rất xa</t>
  </si>
  <si>
    <t>https://maps.app.goo.gl/2EuZY4dVUm4aqcNo9</t>
  </si>
  <si>
    <t>- Tanuki Lake - cũng oke</t>
  </si>
  <si>
    <t>https://www.tiktok.com/@viiveerilla/video/7500237606458887432?q=fujisan&amp;t=1777281354199</t>
  </si>
  <si>
    <t>Fujikawaguchiko Station - Shinjuku Station</t>
  </si>
  <si>
    <t>Cơm cá hồi</t>
  </si>
  <si>
    <t>Namino</t>
  </si>
  <si>
    <t xml:space="preserve">Mua đồ ăn sáng </t>
  </si>
  <si>
    <t>Nagano - Hakuba</t>
  </si>
  <si>
    <t>Di chuyển 3.5 tiếng</t>
  </si>
  <si>
    <t>Khách sạn (2 đêm)</t>
  </si>
  <si>
    <t>Starbucks Coffee Snowpeak</t>
  </si>
  <si>
    <t>Gần Hakuba Station</t>
  </si>
  <si>
    <t>Hakuba - AOKI LakeSide Café</t>
  </si>
  <si>
    <t>Lakeside Café - Hakuba</t>
  </si>
  <si>
    <t>Khách sạn - Hakuba Iwatake Resort</t>
  </si>
  <si>
    <t>https://www.facebook.com/share/p/14e87Sip9ow/</t>
  </si>
  <si>
    <t>Hakuba Iwatake Resort - Granoda</t>
  </si>
  <si>
    <t>Link tham khảo check in Hakuba</t>
  </si>
  <si>
    <t>- Swing</t>
  </si>
  <si>
    <t>- Mountain Cart</t>
  </si>
  <si>
    <t xml:space="preserve">- City Bakery </t>
  </si>
  <si>
    <t>Resort - Khách sạn</t>
  </si>
  <si>
    <t>Onsen</t>
  </si>
  <si>
    <t>https://en.azekura.com/access.html</t>
  </si>
  <si>
    <t>Thuê xe đạp</t>
  </si>
  <si>
    <t>Hakuba - Kyoto Station</t>
  </si>
  <si>
    <t>Khách sạn Kyoto</t>
  </si>
  <si>
    <t>Khách sạn - Arashiyama Forest</t>
  </si>
  <si>
    <t>- Thuê thuyền</t>
  </si>
  <si>
    <t xml:space="preserve">- Chùa Otagi Nenbutsuji </t>
  </si>
  <si>
    <t>- Sagano Romantic Train</t>
  </si>
  <si>
    <t>Arashiyama Forest - Khách sạn</t>
  </si>
  <si>
    <t>CHƠI Ở KYOTO</t>
  </si>
  <si>
    <t>Chơi ở Gion</t>
  </si>
  <si>
    <t>Tour Làng chài Ine</t>
  </si>
  <si>
    <t>Check out khách sạn</t>
  </si>
  <si>
    <t>Gửi vali ở khách sạn</t>
  </si>
  <si>
    <t>Khách sạn</t>
  </si>
  <si>
    <t>Di chuyển lớn</t>
  </si>
  <si>
    <t>(-) Máy bay</t>
  </si>
  <si>
    <t>Ăn lớn</t>
  </si>
  <si>
    <t xml:space="preserve">Tokyo Pass 72 giờ </t>
  </si>
  <si>
    <t>Đặt trước</t>
  </si>
  <si>
    <t>Osaka 2 days</t>
  </si>
  <si>
    <t>Đã đặt</t>
  </si>
  <si>
    <t>Tìm Kessei Narita Skyaccess</t>
  </si>
  <si>
    <t>NRT - Nestay Suite Tokyo Tabata</t>
  </si>
  <si>
    <t>Chuyển tuyến - Đi bộ 3p</t>
  </si>
  <si>
    <t>- Nippori Station - Tabata Station</t>
  </si>
  <si>
    <t>Mua vé Yamanote Line/ Chưa mua vé pass</t>
  </si>
  <si>
    <t>Airbnb - Ăn tối - Shinjuku</t>
  </si>
  <si>
    <t xml:space="preserve">- Đi tàu Tabata - Shinjuku </t>
  </si>
  <si>
    <t>Yamanote Line</t>
  </si>
  <si>
    <t>Coco curry house (Shinjuku station) (Meat/Pork curry) - Ăn Cà Ri + Uống coca</t>
  </si>
  <si>
    <t>Đi Akihabara Electric Town (Shinjuku Line)</t>
  </si>
  <si>
    <t>Tabata - Sensoji</t>
  </si>
  <si>
    <t>- Tabata - Ueno Station (Yamanote line YR)</t>
  </si>
  <si>
    <t>https://maps.app.goo.gl/1X4pA9ueMGmUwuNH8</t>
  </si>
  <si>
    <t>Sensoji - Shibuya</t>
  </si>
  <si>
    <t>Ăn trưa ở Shibuya</t>
  </si>
  <si>
    <t>Ichiran ramen shibuya - ăn Mỳ suất 980 Yen + 120 Yen mỳ thêm/ hoặc ăn ở Tenraiken Kamiyachohonten cho gần</t>
  </si>
  <si>
    <t>- Shibuya - Tượng Hachiko</t>
  </si>
  <si>
    <t>Mỳ Inchiran Ramen Shibuya</t>
  </si>
  <si>
    <t>- Tower Records Shibuya</t>
  </si>
  <si>
    <t>- Shibuya 109</t>
  </si>
  <si>
    <t>- Parco Shibuya -Pokemon Center Shibuya</t>
  </si>
  <si>
    <t>- MODI Shibuya</t>
  </si>
  <si>
    <t>- Shibuya Crossing</t>
  </si>
  <si>
    <t>Tìm thêm 1 quán cafe ở Shibuya</t>
  </si>
  <si>
    <t>Fujiko · F · Fujio Museum</t>
  </si>
  <si>
    <t>- Tìm cách tới Noborito Station, tìm ra bus stop để tới bảo tàng - di chuyển ít nhất 1.5 tiếng</t>
  </si>
  <si>
    <t xml:space="preserve"> - Đến Bảo tàng Doraemon</t>
  </si>
  <si>
    <t>10:00 a.m. to 6:00 p.m.
(entrance deadline 5:00 p.m.) 1000 JPY/adults</t>
  </si>
  <si>
    <t>- Ăn bánh Doraemon</t>
  </si>
  <si>
    <t>Gọi bánh Doraemon</t>
  </si>
  <si>
    <t>Đi tàu về Shibuya</t>
  </si>
  <si>
    <t>Gyukatsu Motomura Shibuya (130G) Gọi 1 loại 130 gram - Thịt chiên sù nướng đá +Uống coca</t>
  </si>
  <si>
    <t>Đi Shibuya Sky</t>
  </si>
  <si>
    <t>Chưa đặt</t>
  </si>
  <si>
    <t>FUJI</t>
  </si>
  <si>
    <t>Đón tại Khách sạn</t>
  </si>
  <si>
    <t xml:space="preserve">Hoặc 1 triệu/người nếu tự túc ăn trưa, nên đi buổi sáng để chụp không ngược nắng </t>
  </si>
  <si>
    <t xml:space="preserve"> 
Đến nhà hàng Kosaku Kawaguchiko
Ăn trưa sớm từ 11:00 - mì Houtou</t>
  </si>
  <si>
    <t>Tsujihan - Đi bộ (400) ăn trưa cơm trộn cá hồi - Gọi suất Ume và trả tiền mặt
Hoặc Torikizoku ở Nakano Ga</t>
  </si>
  <si>
    <t>Đi Café Tokyo Tower</t>
  </si>
  <si>
    <t>Ăn sáng ở nhà</t>
  </si>
  <si>
    <t>Thuê 2 Tủ</t>
  </si>
  <si>
    <t>Đi ra Ginza chơi</t>
  </si>
  <si>
    <t>Ginza</t>
  </si>
  <si>
    <t>Tendon tenya ginza - gọi suất 1090 Yen</t>
  </si>
  <si>
    <t>Ginza  Station - Tokyo Tower</t>
  </si>
  <si>
    <t>Quay về Tokyo Station</t>
  </si>
  <si>
    <t>Đi Bộ TeamLab</t>
  </si>
  <si>
    <t>Team Lab Borderless</t>
  </si>
  <si>
    <t>Sau đó đi ăn ở gần Tháp Tokyo - Ichiran Shimbashi</t>
  </si>
  <si>
    <t>Ăn tối ở Kyoto</t>
  </si>
  <si>
    <t>Musoshin (850-1100)</t>
  </si>
  <si>
    <t>Đi bộ 550m</t>
  </si>
  <si>
    <t>Đi bộ (650m từ musoshin) đi ăn kem matcha (Giá 1,300 - 2,000 Yen)</t>
  </si>
  <si>
    <t>Mua vé 1-day pass bus</t>
  </si>
  <si>
    <t>Vé tàu kyoto</t>
  </si>
  <si>
    <t>Thuê Kimono ở gần khách sạn</t>
  </si>
  <si>
    <t>https://www.facebook.com/lacoste.keke#</t>
  </si>
  <si>
    <t>Đi từ khách sạn tới Fushimi Inari Taisha</t>
  </si>
  <si>
    <t>Ăn tại Teuchi-udon Kendonya gần ga Fushimi Inari Taisha</t>
  </si>
  <si>
    <t>Ăn Udon</t>
  </si>
  <si>
    <t>Đi từ quán ăn tới Bamboo Forest ở chùa Kodaji Temple</t>
  </si>
  <si>
    <t>Đi metro tuyến KH</t>
  </si>
  <si>
    <t>Đi bộ sang chùa Yasaka Temple cách 700 m</t>
  </si>
  <si>
    <t>Lưu ý có 2 chùa Yasaka</t>
  </si>
  <si>
    <t>Đi về phố Ninezaka để chụp ảnh với Tháp Kyoto</t>
  </si>
  <si>
    <t>Đi trả quần áo</t>
  </si>
  <si>
    <t>Ăn tối ở gần Yasaka</t>
  </si>
  <si>
    <t>Ăn cơm lươn ở Gion</t>
  </si>
  <si>
    <t>Đi café ở StarBucks +Đi về phố Ninezaka để chụp ảnh với Tháp K</t>
  </si>
  <si>
    <t>Mở cửa tới 8h tối gọi nước matcha</t>
  </si>
  <si>
    <t>Ăn trưa ở chợ Nishihi Market</t>
  </si>
  <si>
    <t>Đi bộ đi ra Okonomiyaki Kiji</t>
  </si>
  <si>
    <t>9-20 Kakudacho, Kita-Ku Shin Umeda Shokudogai, Osaka 530-0017 Osaka Prefecture</t>
  </si>
  <si>
    <t>Trượt thác Umeda</t>
  </si>
  <si>
    <t>Quay lại ga Osaka station</t>
  </si>
  <si>
    <t>Quay lại ga lấy hành lý ở coin lockers</t>
  </si>
  <si>
    <t>Đi ra Shin-Imamiya Station để đi Tsutenkaku chơi</t>
  </si>
  <si>
    <t>- Đi Osaka Loop Line</t>
  </si>
  <si>
    <t>Di chuyển từ khách sạn đến Dontoburi</t>
  </si>
  <si>
    <t>- Shinsekai</t>
  </si>
  <si>
    <t>- Cửa hàng One Piece</t>
  </si>
  <si>
    <t>Đi tàu từ Shinsekai ra Dontoburi (Sakaisuji Line)</t>
  </si>
  <si>
    <t>Các điểm tham quan:
1/ Dotonbori Konamon Museum (bánh bạch tuộc)
2/ Takoyaki Kukuru Dotonbori (bánh bạch tuộc)
3/ Dotonbori Glico Sign (biển hiệu Glico)
4/ Soemonchou (biển hiệu thị trấn Soemon)
5/ Kani Doraku Dotombori Nakamise (cua hoàng đế)
6/ Osaka Shochikuza Theatre (nhà hát kịch)
7/ Don Quijote Dotonbori (shopping tax free)
8/ Melon Bread
9/ Strawberry cake</t>
  </si>
  <si>
    <t>Ăn tối ở Dontoburi - Chibo Okonoiyaki, Hoặc ăn IchiRan Ramen Umeda</t>
  </si>
  <si>
    <t>Quán Kira Nguyễn</t>
  </si>
  <si>
    <t xml:space="preserve">Đi về Osaka Station - Khách sạn DOYANEN HOTELS YAMATO </t>
  </si>
  <si>
    <t>Đi tuyến Midosuji Line</t>
  </si>
  <si>
    <t>KHÁCH SẠN DOYANEN HOTELS YAMATO</t>
  </si>
  <si>
    <t>Ăn sáng - Nếu đi cả công viên thì tối mua Kitensu Pass</t>
  </si>
  <si>
    <t>Nara Park - Đông Đại Tự Đại Phật Điện, Nam Đại Tự Điện</t>
  </si>
  <si>
    <t>Đi bộ (27m) đến công viên Nara chơi với hươu</t>
  </si>
  <si>
    <t>Đi Công viên Ikoma Sanjo Amusement Park(Mt.Ikoma)</t>
  </si>
  <si>
    <t>Đi tới Ga Torii-mae Station (360 Yen) +Ikomasanjo Station (500 Yen/chiều)</t>
  </si>
  <si>
    <t>Quay lại Dontorburi để mua quà</t>
  </si>
  <si>
    <t>Kura Sushi</t>
  </si>
  <si>
    <t>Mua sắm cho gia đình</t>
  </si>
  <si>
    <t>Katsuo ji</t>
  </si>
  <si>
    <t>Đi đến Katsuo ji</t>
  </si>
  <si>
    <t>Ăn trưa ở gần Katsuo ji</t>
  </si>
  <si>
    <t>Cơm trưa tại Minoh Hakushima Shokudo</t>
  </si>
  <si>
    <t>Katsuo ji - Khách sạn</t>
  </si>
  <si>
    <t>Về Dontoburi - Popular Sukiyaki Hokuto ăn lẩu</t>
  </si>
  <si>
    <t>Đi công viên ở Osaka</t>
  </si>
  <si>
    <t>Ăn cơm lươn</t>
  </si>
  <si>
    <t>Time</t>
  </si>
  <si>
    <t>Activity</t>
  </si>
  <si>
    <t>Description</t>
  </si>
  <si>
    <t>Note</t>
  </si>
  <si>
    <t>Image</t>
  </si>
  <si>
    <t>Link</t>
  </si>
  <si>
    <t xml:space="preserve">  Day 1: Hanoi • Tokyo • Odaiba Sunset</t>
  </si>
  <si>
    <t>00:55 - 08:00</t>
  </si>
  <si>
    <t>On Flight</t>
  </si>
  <si>
    <t>Depart HAN on flight VJ 932 to NRT</t>
  </si>
  <si>
    <t>08:00 - 11:00</t>
  </si>
  <si>
    <t>Send Luggage</t>
  </si>
  <si>
    <t>Yamato Transport on Terminal 2, 3rd Floor</t>
  </si>
  <si>
    <t>https://www.kuronekoyamato.co.jp/ytc/en/send/services/airport/narita2_send.html</t>
  </si>
  <si>
    <t>11:00 - 12:00</t>
  </si>
  <si>
    <t>Airport Transfer</t>
  </si>
  <si>
    <t>Transfer from Narita to Tokyo via Keisei Skyliner / Train</t>
  </si>
  <si>
    <t>Airbnb</t>
  </si>
  <si>
    <t>1_day1_airbnb.png</t>
  </si>
  <si>
    <t>https://maps.app.goo.gl/DBmdvffro3LetJej6</t>
  </si>
  <si>
    <t>12:00 - 13:00</t>
  </si>
  <si>
    <t>Lunch</t>
  </si>
  <si>
    <t xml:space="preserve">Enjoy Japanese curry </t>
  </si>
  <si>
    <t>CoCo Ichibanya</t>
  </si>
  <si>
    <t>1_day1_curryhouse.png</t>
  </si>
  <si>
    <t>https://maps.app.goo.gl/QUZeFor2cqwbRkzj7</t>
  </si>
  <si>
    <t>13:00 - 14:00</t>
  </si>
  <si>
    <t>Check-in</t>
  </si>
  <si>
    <t>Airbnb Check in at 6-chōme-12-1 Ōmorikita エルメゾン大森203, Ota City, Tokyo</t>
  </si>
  <si>
    <t>14:00 - 16:30</t>
  </si>
  <si>
    <t>Miraikan Museum</t>
  </si>
  <si>
    <t>Visit National Museum of Emerging Science and Innovation</t>
  </si>
  <si>
    <t>Miraikan</t>
  </si>
  <si>
    <t>1_day1_miraikan.png</t>
  </si>
  <si>
    <t>https://maps.app.goo.gl/BmYZxEzfSyLjgQyp9</t>
  </si>
  <si>
    <t>16:30 - 17:30</t>
  </si>
  <si>
    <t>Odaiba Sunset</t>
  </si>
  <si>
    <t>Sunset stroll at Odaiba Seaside Park; Admire Rainbow Bridge and Tokyo Bay skyline.</t>
  </si>
  <si>
    <t>Sunset point</t>
  </si>
  <si>
    <t>1_day1_odaibapark.png</t>
  </si>
  <si>
    <t>https://maps.app.goo.gl/t1SnqWYUNsLD9mvk7</t>
  </si>
  <si>
    <t>18:00 - 20:00</t>
  </si>
  <si>
    <t>Dinner</t>
  </si>
  <si>
    <t>Traditional Tokyo Monjayaki dinner</t>
  </si>
  <si>
    <t>1_day1_monja.png</t>
  </si>
  <si>
    <t>Evening</t>
  </si>
  <si>
    <t>Night at Tokyo and Return hotel to rest</t>
  </si>
  <si>
    <t xml:space="preserve">  Day 2: Tokyo DisneySea</t>
  </si>
  <si>
    <t>08:00 - 09:00</t>
  </si>
  <si>
    <t>Transfer to Disney</t>
  </si>
  <si>
    <t>Tokyo DisneySea</t>
  </si>
  <si>
    <t>https://maps.app.goo.gl/mFXM4V9B9K4DBWVz8</t>
  </si>
  <si>
    <t>09:00 - 16:00</t>
  </si>
  <si>
    <t>Full day exploring themed ports: Mediterranean Harbor, Mysterious Island, Arabian Coast &amp; thrilling attractions. Lunch inside park.</t>
  </si>
  <si>
    <t>17:00 - 21:00</t>
  </si>
  <si>
    <t>Fresh sushi dinner at Sushiro</t>
  </si>
  <si>
    <t>Omorikita branch</t>
  </si>
  <si>
    <t>https://share.google/glhiHLvLUNFKbIXOL</t>
  </si>
  <si>
    <t xml:space="preserve">  Day 3: Mount Fuji • Oshino Hakkai • Lake Kawaguchiko</t>
  </si>
  <si>
    <t>06:00 - 08:00</t>
  </si>
  <si>
    <t>Depart for Mt. Fuji</t>
  </si>
  <si>
    <t>Check out hotel; Transfer from Tokyo toward Fuji Mount</t>
  </si>
  <si>
    <t>08:00 - 12:00</t>
  </si>
  <si>
    <t>Fuji Heritage Tour</t>
  </si>
  <si>
    <t>Sightseeing at Honcho Street, Lake Yamanaka Boardwalk, and ancient spring village Oshino Hakkai.</t>
  </si>
  <si>
    <t>12:00 - 13:30</t>
  </si>
  <si>
    <t>Authentic Koshu Hoto Kosaku noodles (Pumpkin miso noodle stew).</t>
  </si>
  <si>
    <t>https://share.google/07foiHP82iKKrDXLN</t>
  </si>
  <si>
    <t>13:30 - 16:00</t>
  </si>
  <si>
    <t>Kawaguchiko Sights</t>
  </si>
  <si>
    <t>Scenic walk at Oishi Park overlooking Mt. Fuji &amp; photo stop at Mt. Fuji Lawson.</t>
  </si>
  <si>
    <t>16:30 - 18:00</t>
  </si>
  <si>
    <t>Hotel Check-in</t>
  </si>
  <si>
    <t>Check in Fuji Kawaguchiko Resort Hotel; relax with Mount Fuji view.</t>
  </si>
  <si>
    <t xml:space="preserve"> Fuji Kawaguchiko Resort Hotel</t>
  </si>
  <si>
    <t>https://share.google/HkyzWgzwgKD1EYvWY</t>
  </si>
  <si>
    <t>Charcoal-grilled BBQ/ Yakitori dinner at Sanrokuen.</t>
  </si>
  <si>
    <t>tiktok.com/@wethecurioustravelers/video/7350291288496901394?is_from_webapp=1&amp;sender_device=pc&amp;web_id=7410061434220971537</t>
  </si>
  <si>
    <t xml:space="preserve">  Day 4: Kawaguchiko • Matsumoto City</t>
  </si>
  <si>
    <t>08:00 - 11:30</t>
  </si>
  <si>
    <t>Lakeside Cycling</t>
  </si>
  <si>
    <t>11:30 - 13:00</t>
  </si>
  <si>
    <t>13:30 - 16:30</t>
  </si>
  <si>
    <t>Transfer to Matsumoto</t>
  </si>
  <si>
    <t>Scenic transfer by express bus / JR train from Kawaguchiko Station to Matsumoto (Nagano).</t>
  </si>
  <si>
    <t>18:00 - 20:30</t>
  </si>
  <si>
    <t>Dinner &amp; City Walk</t>
  </si>
  <si>
    <t>Savor Japanese Hamburger Steak (Amiya Yakiniku) &amp; explore Matsumoto downtown.</t>
  </si>
  <si>
    <t xml:space="preserve">  Day 5: Kamikochi Alpine Valley</t>
  </si>
  <si>
    <t>07:40 - 09:00</t>
  </si>
  <si>
    <t>Bus to Kamikochi</t>
  </si>
  <si>
    <t>09:00 - 14:00</t>
  </si>
  <si>
    <t>Kamikochi Trekking</t>
  </si>
  <si>
    <t>Nature hike along Azusa River from Taisho Pond to Kappa Bridge; admire snow-capped Alps. Lunch in valley.</t>
  </si>
  <si>
    <t>14:30 - 16:00</t>
  </si>
  <si>
    <t>Return to Matsumoto</t>
  </si>
  <si>
    <t>Alpine bus transfer from Kamikochi back to Matsumoto Station.</t>
  </si>
  <si>
    <t>Shinshu Premium Beef yakiniku &amp; Nagano regional specialties (Horumon Ya Kaishu).</t>
  </si>
  <si>
    <t xml:space="preserve">  Day 6: Matsumoto Castle • Kyoto</t>
  </si>
  <si>
    <t>08:30 - 11:30</t>
  </si>
  <si>
    <t>Matsumoto Castle</t>
  </si>
  <si>
    <t>Tour Matsumoto Castle (National Treasure) &amp; stroll along historic Nawate Frog Street.</t>
  </si>
  <si>
    <t>Handmade Shinshu Soba noodles at Kobayashi Soba.</t>
  </si>
  <si>
    <t>Train to Kyoto</t>
  </si>
  <si>
    <t>JR Limited Express Shinano / Shinkansen through scenic Kiso Valley to Kyoto Station.</t>
  </si>
  <si>
    <t>17:00 - 18:30</t>
  </si>
  <si>
    <t>Check in KIORI EXEC GOJO Kyoto.</t>
  </si>
  <si>
    <t>18:30 - 20:30</t>
  </si>
  <si>
    <t>Evening walk &amp; dinner in central Kyoto (Gojo / Shijo Karasuma).</t>
  </si>
  <si>
    <t xml:space="preserve">  Day 7: Arashiyama Bamboo Grove • Sagano Train</t>
  </si>
  <si>
    <t>Arashiyama Sights</t>
  </si>
  <si>
    <t>Morning stroll in Bamboo Grove, Hozu River scenic boat tour &amp; visit moss temple Otagi Nenbutsu-ji.</t>
  </si>
  <si>
    <t>Kyoto style Udon noodles &amp; sweets at Ogura Cha-Ya.</t>
  </si>
  <si>
    <t>Sagano Romantic Train</t>
  </si>
  <si>
    <t>Vintage scenic train ride along Sagano romantic river gorge.</t>
  </si>
  <si>
    <t>17:00 - 19:30</t>
  </si>
  <si>
    <t>Shopping &amp; Dinner</t>
  </si>
  <si>
    <t>Shijo-Kawaramachi shopping &amp; gourmet Pizza date night (400℃ Pizza Kyoto).</t>
  </si>
  <si>
    <t xml:space="preserve">  Day 8:  Kimono Experience • Gion &amp; Kiyomizu • Nara</t>
  </si>
  <si>
    <t>Kimono &amp; Ancient Kyoto</t>
  </si>
  <si>
    <t>Wear traditional Kimono; explore Ninenzaka, Sannenzaka, Gion &amp; panoramic terrace of Kiyomizu-dera.</t>
  </si>
  <si>
    <t>Charcoal-grilled Unagi Donburi (Eel Rice Bowl) at Gion Unagi Kawato.</t>
  </si>
  <si>
    <t>13:00 - 17:30</t>
  </si>
  <si>
    <t>Matcha lover with deers</t>
  </si>
  <si>
    <t>Visit Uji or Nara or Ine Village</t>
  </si>
  <si>
    <t>Dinner &amp; Souvenirs</t>
  </si>
  <si>
    <t>Kyoto farewell dinner &amp; traditional Matcha souvenir shopping.</t>
  </si>
  <si>
    <t xml:space="preserve">  Day 9: Kyoto • Kansai Airport • Hanoi</t>
  </si>
  <si>
    <t>09:00 - 11:00</t>
  </si>
  <si>
    <t>Morning Walk &amp; Packing</t>
  </si>
  <si>
    <t>Hotel check-out, luggage storage &amp; final souvenir walk around Kyoto Station.</t>
  </si>
  <si>
    <t>11:00 - 12:30</t>
  </si>
  <si>
    <t>Teishoku set lunch / Gyudon at Kyoto Porta Mall.</t>
  </si>
  <si>
    <t>12:30 - 14:00</t>
  </si>
  <si>
    <t>Kansai Airport Express</t>
  </si>
  <si>
    <t>Board JR Haruka Airport Express from Kyoto Station to Kansai International Airport (KIX).</t>
  </si>
  <si>
    <t>14:00 - 17:00</t>
  </si>
  <si>
    <t>Departure Flight</t>
  </si>
  <si>
    <t>Duty-free shopping, flight check-in and board flight returning to Hanoi.</t>
  </si>
  <si>
    <t>https://maps.app.goo.gl/WVra6VVmUsb8rW6e6</t>
  </si>
  <si>
    <t>https://share.google/xqkzBGgDAv8kRgixy</t>
  </si>
  <si>
    <t>https://maps.app.goo.gl/NUq4LMixjLGYXGEt7</t>
  </si>
  <si>
    <t>Route</t>
  </si>
  <si>
    <t>Koushuya</t>
  </si>
  <si>
    <t>Transfer from Airbnb to Tokyo DisneySea</t>
  </si>
  <si>
    <t>Huto Noodle Restaurant</t>
  </si>
  <si>
    <t>Yakitori Sanrokuen</t>
  </si>
  <si>
    <t>Café</t>
  </si>
  <si>
    <t>Hotel</t>
  </si>
  <si>
    <t>Hamburger Steak</t>
  </si>
  <si>
    <t>https://maps.app.goo.gl/KDWpc4to69uYDtj87</t>
  </si>
  <si>
    <t>https://maps.app.goo.gl/rQZP4NnC7MZ1EG6X8</t>
  </si>
  <si>
    <t>Morning bike tour around Lake Kawaguchiko; Lakeside coffee break (Choose: The Park Cafe / Lake Bake).</t>
  </si>
  <si>
    <t>Choose: Crispy Tonkatsu / Tempura at Fuji Tempura Idaten (or Beef at Koushuya).</t>
  </si>
  <si>
    <t>Check in Toyoko Inn Matsumoto Station Higashiguchi.</t>
  </si>
  <si>
    <t>Depart Matsumoto Bus Terminal via scenic alpine bus to Kamikochi (Nakanoyu Shop)</t>
  </si>
  <si>
    <t>https://maps.app.goo.gl/Shs2CW2xCxpwiqqY6</t>
  </si>
  <si>
    <t>Horumon Ya Kaishu</t>
  </si>
  <si>
    <t>https://maps.app.goo.gl/mHyBFMSJhLKhSmuSA</t>
  </si>
  <si>
    <t>Kobayashi soba</t>
  </si>
  <si>
    <t>https://maps.app.goo.gl/N67EMhP435f74TKF6</t>
  </si>
  <si>
    <t>https://maps.app.goo.gl/nesRwvcHFTVAvsaB7</t>
  </si>
  <si>
    <t>Kiori Exec Gojo Kyoto</t>
  </si>
  <si>
    <t>21:00</t>
  </si>
  <si>
    <t>2_day2_disney.png</t>
  </si>
  <si>
    <t>2_day2_sushiro.png</t>
  </si>
  <si>
    <t>4_day4_food.png</t>
  </si>
  <si>
    <t>4_day4_hotel.png</t>
  </si>
  <si>
    <t>5_day5_kamikochi.png</t>
  </si>
  <si>
    <t>5_day5_nakanoyu.png</t>
  </si>
  <si>
    <t>3_day3_hotel.png</t>
  </si>
  <si>
    <t>3_day3_food.png</t>
  </si>
  <si>
    <t>3_day3_oshino.png</t>
  </si>
  <si>
    <t>4_day4_lake bake.png</t>
  </si>
  <si>
    <t>4_day4_koshuya.png</t>
  </si>
  <si>
    <t>6_day6_soba.png</t>
  </si>
  <si>
    <t>6_day6_hotel.png</t>
  </si>
  <si>
    <t>6_day6_travel.png</t>
  </si>
  <si>
    <t>6_day6_museum.png</t>
  </si>
  <si>
    <t>7_day7_bamboo.png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</si>
</sst>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u/>
      <sz val="12"/>
      <color theme="10"/>
      <name val="Calibri"/>
      <family val="2"/>
    </font>
    <font>
      <sz val="11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u/>
      <sz val="11"/>
      <color theme="10"/>
      <name val="Aptos Display"/>
      <family val="2"/>
      <scheme val="major"/>
    </font>
    <font>
      <b/>
      <sz val="12"/>
      <color theme="1"/>
      <name val="Aptos Display"/>
      <family val="2"/>
      <scheme val="major"/>
    </font>
    <font>
      <sz val="12"/>
      <color theme="1"/>
      <name val="Aptos Display"/>
      <family val="2"/>
      <scheme val="major"/>
    </font>
    <font>
      <b/>
      <sz val="11"/>
      <color rgb="FF000000"/>
      <name val="Aptos Display"/>
      <family val="2"/>
      <scheme val="major"/>
    </font>
    <font>
      <b/>
      <sz val="11"/>
      <color rgb="FFFF0000"/>
      <name val="Aptos Display"/>
      <family val="2"/>
      <scheme val="major"/>
    </font>
    <font>
      <sz val="11"/>
      <color rgb="FF000000"/>
      <name val="Aptos Display"/>
      <family val="2"/>
      <scheme val="major"/>
    </font>
    <font>
      <u/>
      <sz val="12"/>
      <color theme="10"/>
      <name val="Aptos Display"/>
      <family val="2"/>
      <scheme val="major"/>
    </font>
    <font>
      <b/>
      <sz val="12"/>
      <color theme="0"/>
      <name val="Aptos Display"/>
      <family val="2"/>
      <scheme val="major"/>
    </font>
    <font>
      <b/>
      <sz val="12"/>
      <color rgb="FF0070C0"/>
      <name val="Aptos Display"/>
      <family val="2"/>
      <scheme val="major"/>
    </font>
    <font>
      <b/>
      <sz val="12"/>
      <color rgb="FFFF0000"/>
      <name val="Aptos Display"/>
      <family val="2"/>
      <scheme val="major"/>
    </font>
    <font>
      <b/>
      <sz val="12"/>
      <color rgb="FF000000"/>
      <name val="Aptos Display"/>
      <family val="2"/>
      <scheme val="major"/>
    </font>
    <font>
      <sz val="12"/>
      <color rgb="FF000000"/>
      <name val="Aptos Display"/>
      <family val="2"/>
      <scheme val="major"/>
    </font>
    <font>
      <sz val="12"/>
      <name val="Aptos Display"/>
      <family val="2"/>
      <scheme val="major"/>
    </font>
    <font>
      <b/>
      <sz val="12"/>
      <color rgb="FFFF0000"/>
      <name val="Aptos Narrow"/>
      <family val="2"/>
      <scheme val="minor"/>
    </font>
    <font>
      <sz val="12"/>
      <color rgb="FFFF0000"/>
      <name val="Aptos Display"/>
      <family val="2"/>
      <scheme val="major"/>
    </font>
    <font>
      <sz val="12"/>
      <name val="Aptos Narrow"/>
      <family val="2"/>
      <scheme val="minor"/>
    </font>
    <font>
      <sz val="12"/>
      <color theme="1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theme="1"/>
      <name val="Aptos Display"/>
      <scheme val="major"/>
    </font>
    <font>
      <b/>
      <sz val="12"/>
      <color theme="1"/>
      <name val="Aptos Display"/>
      <scheme val="major"/>
    </font>
    <font>
      <sz val="11"/>
      <color theme="1"/>
      <name val="Aptos Narrow"/>
      <scheme val="minor"/>
    </font>
    <font>
      <b/>
      <sz val="11"/>
      <color rgb="FFFFFFFF"/>
      <name val="Aptos Narrow"/>
      <scheme val="minor"/>
    </font>
    <font>
      <b/>
      <sz val="11"/>
      <color rgb="FF123056"/>
      <name val="Aptos Narrow"/>
      <scheme val="minor"/>
    </font>
    <font>
      <sz val="11"/>
      <color rgb="FF333333"/>
      <name val="Aptos Narrow"/>
      <scheme val="minor"/>
    </font>
    <font>
      <sz val="11"/>
      <color rgb="FF222222"/>
      <name val="Aptos Narrow"/>
      <scheme val="minor"/>
    </font>
    <font>
      <sz val="11"/>
      <color theme="0"/>
      <name val="Aptos Narrow"/>
      <scheme val="minor"/>
    </font>
    <font>
      <sz val="11"/>
      <color rgb="FF222222"/>
      <name val="Aptos Narrow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123056"/>
        <bgColor rgb="FF123056"/>
      </patternFill>
    </fill>
    <fill>
      <patternFill patternType="solid">
        <fgColor rgb="FFE8EEF5"/>
        <bgColor rgb="FFE8EEF5"/>
      </patternFill>
    </fill>
    <fill>
      <patternFill patternType="solid">
        <fgColor rgb="FFFFFFFF"/>
        <bgColor rgb="FFFFFFFF"/>
      </patternFill>
    </fill>
    <fill>
      <patternFill patternType="solid">
        <fgColor rgb="FFF9FBFD"/>
        <bgColor rgb="FFF9FBFD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265">
    <xf numFmtId="0" fontId="0" fillId="0" borderId="0" xfId="0"/>
    <xf numFmtId="0" fontId="3" fillId="0" borderId="0" xfId="0" applyFont="1"/>
    <xf numFmtId="0" fontId="4" fillId="0" borderId="0" xfId="0" applyFont="1"/>
    <xf numFmtId="3" fontId="4" fillId="0" borderId="0" xfId="0" applyNumberFormat="1" applyFont="1"/>
    <xf numFmtId="164" fontId="4" fillId="0" borderId="0" xfId="1" applyNumberFormat="1" applyFont="1"/>
    <xf numFmtId="164" fontId="4" fillId="0" borderId="0" xfId="0" applyNumberFormat="1" applyFont="1"/>
    <xf numFmtId="0" fontId="5" fillId="0" borderId="0" xfId="2" applyFont="1"/>
    <xf numFmtId="164" fontId="3" fillId="0" borderId="0" xfId="0" applyNumberFormat="1" applyFont="1"/>
    <xf numFmtId="0" fontId="2" fillId="0" borderId="0" xfId="2"/>
    <xf numFmtId="0" fontId="8" fillId="0" borderId="0" xfId="2" applyFont="1" applyBorder="1"/>
    <xf numFmtId="0" fontId="6" fillId="0" borderId="0" xfId="0" applyFont="1"/>
    <xf numFmtId="0" fontId="7" fillId="2" borderId="0" xfId="0" applyFont="1" applyFill="1"/>
    <xf numFmtId="0" fontId="6" fillId="2" borderId="0" xfId="0" applyFont="1" applyFill="1"/>
    <xf numFmtId="0" fontId="7" fillId="0" borderId="0" xfId="0" applyFont="1"/>
    <xf numFmtId="0" fontId="9" fillId="2" borderId="0" xfId="0" applyFont="1" applyFill="1"/>
    <xf numFmtId="0" fontId="10" fillId="2" borderId="0" xfId="0" applyFont="1" applyFill="1"/>
    <xf numFmtId="16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164" fontId="6" fillId="0" borderId="0" xfId="0" applyNumberFormat="1" applyFont="1" applyAlignment="1">
      <alignment horizontal="center"/>
    </xf>
    <xf numFmtId="164" fontId="6" fillId="0" borderId="0" xfId="0" applyNumberFormat="1" applyFont="1"/>
    <xf numFmtId="164" fontId="7" fillId="0" borderId="0" xfId="0" applyNumberFormat="1" applyFont="1" applyAlignment="1">
      <alignment horizontal="center"/>
    </xf>
    <xf numFmtId="164" fontId="7" fillId="0" borderId="0" xfId="0" applyNumberFormat="1" applyFont="1"/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164" fontId="11" fillId="2" borderId="0" xfId="0" applyNumberFormat="1" applyFont="1" applyFill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164" fontId="12" fillId="0" borderId="0" xfId="0" applyNumberFormat="1" applyFont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164" fontId="7" fillId="2" borderId="1" xfId="0" applyNumberFormat="1" applyFont="1" applyFill="1" applyBorder="1" applyAlignment="1">
      <alignment horizontal="center" vertical="center" wrapText="1"/>
    </xf>
    <xf numFmtId="20" fontId="6" fillId="0" borderId="1" xfId="0" applyNumberFormat="1" applyFont="1" applyBorder="1" applyAlignment="1">
      <alignment horizontal="left" vertical="center" wrapText="1"/>
    </xf>
    <xf numFmtId="20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0" fontId="6" fillId="0" borderId="1" xfId="0" quotePrefix="1" applyFont="1" applyBorder="1" applyAlignment="1">
      <alignment horizontal="left" vertical="center" wrapText="1"/>
    </xf>
    <xf numFmtId="0" fontId="6" fillId="0" borderId="1" xfId="0" quotePrefix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8" fillId="0" borderId="1" xfId="2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14" fillId="2" borderId="1" xfId="2" applyFont="1" applyFill="1" applyBorder="1" applyAlignment="1">
      <alignment horizontal="center" vertical="center" wrapText="1"/>
    </xf>
    <xf numFmtId="164" fontId="9" fillId="2" borderId="1" xfId="0" applyNumberFormat="1" applyFont="1" applyFill="1" applyBorder="1" applyAlignment="1">
      <alignment horizontal="center" vertical="center" wrapText="1"/>
    </xf>
    <xf numFmtId="0" fontId="8" fillId="0" borderId="1" xfId="2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 readingOrder="1"/>
    </xf>
    <xf numFmtId="0" fontId="6" fillId="0" borderId="1" xfId="0" applyFont="1" applyBorder="1" applyAlignment="1">
      <alignment horizontal="center" vertical="center" wrapText="1" readingOrder="1"/>
    </xf>
    <xf numFmtId="164" fontId="6" fillId="0" borderId="1" xfId="0" applyNumberFormat="1" applyFont="1" applyBorder="1" applyAlignment="1">
      <alignment horizontal="center" vertical="center" wrapText="1" readingOrder="1"/>
    </xf>
    <xf numFmtId="20" fontId="6" fillId="0" borderId="1" xfId="0" applyNumberFormat="1" applyFont="1" applyBorder="1" applyAlignment="1">
      <alignment horizontal="center" vertical="center" wrapText="1" readingOrder="1"/>
    </xf>
    <xf numFmtId="0" fontId="7" fillId="2" borderId="1" xfId="0" applyFont="1" applyFill="1" applyBorder="1" applyAlignment="1">
      <alignment vertical="top"/>
    </xf>
    <xf numFmtId="0" fontId="7" fillId="2" borderId="1" xfId="0" applyFont="1" applyFill="1" applyBorder="1" applyAlignment="1">
      <alignment vertical="top" wrapText="1"/>
    </xf>
    <xf numFmtId="164" fontId="7" fillId="2" borderId="1" xfId="0" applyNumberFormat="1" applyFont="1" applyFill="1" applyBorder="1" applyAlignment="1">
      <alignment vertical="top" wrapText="1"/>
    </xf>
    <xf numFmtId="0" fontId="7" fillId="2" borderId="1" xfId="0" applyFont="1" applyFill="1" applyBorder="1" applyAlignment="1">
      <alignment vertical="center" wrapText="1"/>
    </xf>
    <xf numFmtId="164" fontId="7" fillId="2" borderId="1" xfId="0" applyNumberFormat="1" applyFont="1" applyFill="1" applyBorder="1" applyAlignment="1">
      <alignment vertical="center" wrapText="1"/>
    </xf>
    <xf numFmtId="16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left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wrapText="1"/>
    </xf>
    <xf numFmtId="0" fontId="13" fillId="0" borderId="1" xfId="0" applyFont="1" applyBorder="1" applyAlignment="1">
      <alignment horizontal="left" vertical="center" wrapText="1"/>
    </xf>
    <xf numFmtId="0" fontId="13" fillId="0" borderId="1" xfId="0" quotePrefix="1" applyFont="1" applyBorder="1" applyAlignment="1">
      <alignment horizontal="left" vertical="center" wrapText="1"/>
    </xf>
    <xf numFmtId="0" fontId="2" fillId="0" borderId="0" xfId="2" applyBorder="1" applyAlignment="1">
      <alignment horizontal="center" vertical="center" wrapText="1"/>
    </xf>
    <xf numFmtId="0" fontId="2" fillId="0" borderId="1" xfId="2" applyBorder="1" applyAlignment="1">
      <alignment horizontal="center" vertical="center" wrapText="1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left" vertical="center" wrapText="1"/>
    </xf>
    <xf numFmtId="164" fontId="9" fillId="2" borderId="0" xfId="0" applyNumberFormat="1" applyFont="1" applyFill="1" applyAlignment="1">
      <alignment horizontal="center" vertical="center" wrapText="1"/>
    </xf>
    <xf numFmtId="164" fontId="9" fillId="2" borderId="0" xfId="1" applyNumberFormat="1" applyFont="1" applyFill="1" applyBorder="1" applyAlignment="1">
      <alignment horizontal="center" vertical="center" wrapText="1"/>
    </xf>
    <xf numFmtId="0" fontId="15" fillId="3" borderId="0" xfId="0" applyFont="1" applyFill="1" applyAlignment="1">
      <alignment horizontal="left" vertical="center"/>
    </xf>
    <xf numFmtId="0" fontId="15" fillId="3" borderId="0" xfId="0" applyFont="1" applyFill="1" applyAlignment="1">
      <alignment vertical="center"/>
    </xf>
    <xf numFmtId="0" fontId="15" fillId="3" borderId="0" xfId="0" applyFont="1" applyFill="1" applyAlignment="1">
      <alignment horizontal="left" vertical="center" wrapText="1"/>
    </xf>
    <xf numFmtId="164" fontId="15" fillId="3" borderId="0" xfId="0" applyNumberFormat="1" applyFont="1" applyFill="1" applyAlignment="1">
      <alignment horizontal="center" vertical="center" wrapText="1"/>
    </xf>
    <xf numFmtId="164" fontId="15" fillId="3" borderId="0" xfId="1" applyNumberFormat="1" applyFont="1" applyFill="1" applyBorder="1" applyAlignment="1">
      <alignment horizontal="center" vertical="center" wrapText="1"/>
    </xf>
    <xf numFmtId="0" fontId="15" fillId="3" borderId="0" xfId="0" applyFont="1" applyFill="1" applyAlignment="1">
      <alignment horizontal="center" vertical="center" wrapText="1"/>
    </xf>
    <xf numFmtId="0" fontId="10" fillId="3" borderId="0" xfId="0" applyFont="1" applyFill="1"/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17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164" fontId="18" fillId="0" borderId="0" xfId="0" applyNumberFormat="1" applyFont="1" applyAlignment="1">
      <alignment horizontal="center" vertical="center" wrapText="1"/>
    </xf>
    <xf numFmtId="164" fontId="18" fillId="0" borderId="0" xfId="1" applyNumberFormat="1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0" fillId="0" borderId="0" xfId="0" applyFont="1"/>
    <xf numFmtId="0" fontId="9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164" fontId="17" fillId="0" borderId="0" xfId="0" applyNumberFormat="1" applyFont="1" applyAlignment="1">
      <alignment horizontal="center" vertical="center" wrapText="1"/>
    </xf>
    <xf numFmtId="164" fontId="10" fillId="0" borderId="0" xfId="1" applyNumberFormat="1" applyFont="1" applyFill="1" applyBorder="1" applyAlignment="1">
      <alignment horizontal="center" vertical="center" wrapText="1"/>
    </xf>
    <xf numFmtId="164" fontId="10" fillId="0" borderId="0" xfId="0" applyNumberFormat="1" applyFont="1" applyAlignment="1">
      <alignment horizontal="center" vertical="center" wrapText="1"/>
    </xf>
    <xf numFmtId="0" fontId="14" fillId="0" borderId="0" xfId="2" applyFont="1" applyFill="1" applyBorder="1" applyAlignment="1">
      <alignment horizontal="left" vertical="center"/>
    </xf>
    <xf numFmtId="0" fontId="14" fillId="0" borderId="0" xfId="2" applyFont="1" applyFill="1" applyBorder="1"/>
    <xf numFmtId="2" fontId="10" fillId="0" borderId="0" xfId="0" quotePrefix="1" applyNumberFormat="1" applyFont="1" applyAlignment="1">
      <alignment horizontal="left" vertical="center" wrapText="1"/>
    </xf>
    <xf numFmtId="20" fontId="10" fillId="0" borderId="2" xfId="0" applyNumberFormat="1" applyFont="1" applyBorder="1" applyAlignment="1">
      <alignment horizontal="left" vertical="center" wrapText="1"/>
    </xf>
    <xf numFmtId="20" fontId="10" fillId="0" borderId="2" xfId="0" applyNumberFormat="1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 wrapText="1"/>
    </xf>
    <xf numFmtId="164" fontId="10" fillId="0" borderId="2" xfId="0" applyNumberFormat="1" applyFont="1" applyBorder="1" applyAlignment="1">
      <alignment horizontal="center" vertical="center" wrapText="1"/>
    </xf>
    <xf numFmtId="164" fontId="10" fillId="0" borderId="2" xfId="1" applyNumberFormat="1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2" xfId="0" applyFont="1" applyBorder="1"/>
    <xf numFmtId="0" fontId="10" fillId="0" borderId="0" xfId="0" quotePrefix="1" applyFont="1" applyAlignment="1">
      <alignment horizontal="left" vertical="center" wrapText="1"/>
    </xf>
    <xf numFmtId="164" fontId="10" fillId="0" borderId="0" xfId="1" applyNumberFormat="1" applyFont="1" applyBorder="1" applyAlignment="1">
      <alignment horizontal="center" vertical="center" wrapText="1"/>
    </xf>
    <xf numFmtId="20" fontId="10" fillId="0" borderId="0" xfId="0" applyNumberFormat="1" applyFont="1" applyAlignment="1">
      <alignment horizontal="center" vertical="center" wrapText="1"/>
    </xf>
    <xf numFmtId="0" fontId="17" fillId="0" borderId="2" xfId="0" applyFont="1" applyBorder="1" applyAlignment="1">
      <alignment horizontal="left" vertical="center" wrapText="1"/>
    </xf>
    <xf numFmtId="0" fontId="19" fillId="0" borderId="2" xfId="0" applyFont="1" applyBorder="1" applyAlignment="1">
      <alignment horizontal="left" vertical="center" wrapText="1"/>
    </xf>
    <xf numFmtId="164" fontId="20" fillId="0" borderId="2" xfId="0" applyNumberFormat="1" applyFont="1" applyBorder="1" applyAlignment="1">
      <alignment horizontal="center" vertical="center" wrapText="1"/>
    </xf>
    <xf numFmtId="164" fontId="20" fillId="0" borderId="2" xfId="1" applyNumberFormat="1" applyFont="1" applyFill="1" applyBorder="1" applyAlignment="1">
      <alignment horizontal="center" vertical="center" wrapText="1"/>
    </xf>
    <xf numFmtId="20" fontId="10" fillId="0" borderId="0" xfId="0" applyNumberFormat="1" applyFont="1" applyAlignment="1">
      <alignment horizontal="left" vertical="center" wrapText="1"/>
    </xf>
    <xf numFmtId="0" fontId="21" fillId="0" borderId="0" xfId="2" applyFont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0" fontId="17" fillId="0" borderId="2" xfId="0" quotePrefix="1" applyFont="1" applyBorder="1" applyAlignment="1">
      <alignment horizontal="left" vertical="center" wrapText="1"/>
    </xf>
    <xf numFmtId="20" fontId="10" fillId="0" borderId="3" xfId="0" applyNumberFormat="1" applyFont="1" applyBorder="1" applyAlignment="1">
      <alignment horizontal="left" vertical="center" wrapText="1"/>
    </xf>
    <xf numFmtId="20" fontId="10" fillId="0" borderId="3" xfId="0" applyNumberFormat="1" applyFont="1" applyBorder="1" applyAlignment="1">
      <alignment horizontal="center" vertical="center" wrapText="1"/>
    </xf>
    <xf numFmtId="0" fontId="10" fillId="0" borderId="3" xfId="0" quotePrefix="1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164" fontId="10" fillId="0" borderId="3" xfId="0" applyNumberFormat="1" applyFont="1" applyBorder="1" applyAlignment="1">
      <alignment horizontal="center" vertical="center" wrapText="1"/>
    </xf>
    <xf numFmtId="164" fontId="10" fillId="0" borderId="3" xfId="1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2" xfId="0" applyFont="1" applyBorder="1"/>
    <xf numFmtId="0" fontId="9" fillId="0" borderId="0" xfId="0" applyFont="1" applyAlignment="1">
      <alignment horizontal="center" vertical="center" wrapText="1"/>
    </xf>
    <xf numFmtId="164" fontId="9" fillId="0" borderId="0" xfId="0" applyNumberFormat="1" applyFont="1" applyAlignment="1">
      <alignment horizontal="center" vertical="center" wrapText="1"/>
    </xf>
    <xf numFmtId="164" fontId="9" fillId="0" borderId="0" xfId="1" applyNumberFormat="1" applyFont="1" applyBorder="1" applyAlignment="1">
      <alignment horizontal="center" vertical="center" wrapText="1"/>
    </xf>
    <xf numFmtId="0" fontId="9" fillId="0" borderId="0" xfId="0" applyFont="1"/>
    <xf numFmtId="0" fontId="20" fillId="0" borderId="0" xfId="0" quotePrefix="1" applyFont="1" applyAlignment="1">
      <alignment vertical="center" wrapText="1"/>
    </xf>
    <xf numFmtId="164" fontId="9" fillId="0" borderId="2" xfId="0" applyNumberFormat="1" applyFont="1" applyBorder="1" applyAlignment="1">
      <alignment horizontal="center" vertical="center" wrapText="1"/>
    </xf>
    <xf numFmtId="164" fontId="9" fillId="0" borderId="2" xfId="1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20" fillId="0" borderId="0" xfId="2" applyFont="1" applyBorder="1" applyAlignment="1">
      <alignment vertical="center" wrapText="1"/>
    </xf>
    <xf numFmtId="20" fontId="10" fillId="0" borderId="4" xfId="0" applyNumberFormat="1" applyFont="1" applyBorder="1" applyAlignment="1">
      <alignment horizontal="left" vertical="center" wrapText="1"/>
    </xf>
    <xf numFmtId="20" fontId="10" fillId="0" borderId="4" xfId="0" applyNumberFormat="1" applyFont="1" applyBorder="1" applyAlignment="1">
      <alignment horizontal="center" vertical="center" wrapText="1"/>
    </xf>
    <xf numFmtId="0" fontId="17" fillId="0" borderId="4" xfId="0" applyFont="1" applyBorder="1" applyAlignment="1">
      <alignment vertical="center" wrapText="1"/>
    </xf>
    <xf numFmtId="0" fontId="21" fillId="0" borderId="4" xfId="2" applyFont="1" applyBorder="1" applyAlignment="1">
      <alignment vertical="center" wrapText="1"/>
    </xf>
    <xf numFmtId="164" fontId="10" fillId="0" borderId="4" xfId="0" applyNumberFormat="1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9" fillId="0" borderId="4" xfId="0" applyFont="1" applyBorder="1"/>
    <xf numFmtId="0" fontId="10" fillId="0" borderId="4" xfId="0" applyFont="1" applyBorder="1"/>
    <xf numFmtId="0" fontId="23" fillId="0" borderId="0" xfId="2" applyFont="1" applyBorder="1" applyAlignment="1">
      <alignment vertical="center" wrapText="1"/>
    </xf>
    <xf numFmtId="0" fontId="17" fillId="0" borderId="2" xfId="0" applyFont="1" applyBorder="1" applyAlignment="1">
      <alignment vertical="center" wrapText="1"/>
    </xf>
    <xf numFmtId="0" fontId="20" fillId="0" borderId="2" xfId="2" applyFont="1" applyBorder="1" applyAlignment="1">
      <alignment vertical="center" wrapText="1"/>
    </xf>
    <xf numFmtId="0" fontId="20" fillId="0" borderId="0" xfId="0" applyFont="1" applyAlignment="1">
      <alignment horizontal="left" vertical="center" wrapText="1"/>
    </xf>
    <xf numFmtId="0" fontId="21" fillId="0" borderId="0" xfId="2" applyFont="1" applyBorder="1" applyAlignment="1">
      <alignment horizontal="center" vertical="center" wrapText="1"/>
    </xf>
    <xf numFmtId="0" fontId="17" fillId="0" borderId="0" xfId="0" quotePrefix="1" applyFont="1" applyAlignment="1">
      <alignment horizontal="left" vertical="center" wrapText="1"/>
    </xf>
    <xf numFmtId="0" fontId="24" fillId="0" borderId="0" xfId="2" applyFont="1" applyBorder="1" applyAlignment="1">
      <alignment horizontal="center" vertical="center" wrapText="1"/>
    </xf>
    <xf numFmtId="164" fontId="10" fillId="2" borderId="0" xfId="0" applyNumberFormat="1" applyFont="1" applyFill="1" applyAlignment="1">
      <alignment horizontal="center" vertical="center" wrapText="1"/>
    </xf>
    <xf numFmtId="0" fontId="10" fillId="0" borderId="2" xfId="0" quotePrefix="1" applyFont="1" applyBorder="1" applyAlignment="1">
      <alignment horizontal="left" vertical="center" wrapText="1"/>
    </xf>
    <xf numFmtId="0" fontId="25" fillId="2" borderId="0" xfId="2" applyFont="1" applyFill="1" applyBorder="1" applyAlignment="1">
      <alignment horizontal="left" vertical="center" wrapText="1"/>
    </xf>
    <xf numFmtId="0" fontId="14" fillId="0" borderId="2" xfId="2" applyFont="1" applyFill="1" applyBorder="1" applyAlignment="1">
      <alignment horizontal="left" vertical="center" wrapText="1"/>
    </xf>
    <xf numFmtId="0" fontId="10" fillId="0" borderId="3" xfId="0" applyFont="1" applyBorder="1"/>
    <xf numFmtId="0" fontId="9" fillId="0" borderId="0" xfId="0" applyFont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25" fillId="0" borderId="0" xfId="2" applyFont="1" applyAlignment="1">
      <alignment horizontal="left" vertical="center" wrapText="1"/>
    </xf>
    <xf numFmtId="164" fontId="20" fillId="0" borderId="0" xfId="0" applyNumberFormat="1" applyFont="1" applyAlignment="1">
      <alignment horizontal="center" vertical="center" wrapText="1"/>
    </xf>
    <xf numFmtId="164" fontId="20" fillId="0" borderId="0" xfId="1" applyNumberFormat="1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164" fontId="20" fillId="0" borderId="0" xfId="1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 wrapText="1" readingOrder="1"/>
    </xf>
    <xf numFmtId="0" fontId="25" fillId="0" borderId="0" xfId="2" applyFont="1" applyBorder="1" applyAlignment="1">
      <alignment horizontal="left" vertical="center" wrapText="1"/>
    </xf>
    <xf numFmtId="0" fontId="14" fillId="0" borderId="2" xfId="2" applyFont="1" applyBorder="1" applyAlignment="1">
      <alignment horizontal="left" vertical="center" wrapText="1"/>
    </xf>
    <xf numFmtId="164" fontId="25" fillId="2" borderId="2" xfId="2" applyNumberFormat="1" applyFont="1" applyFill="1" applyBorder="1" applyAlignment="1">
      <alignment horizontal="center" vertical="center" wrapText="1"/>
    </xf>
    <xf numFmtId="0" fontId="25" fillId="0" borderId="2" xfId="2" applyFont="1" applyBorder="1" applyAlignment="1">
      <alignment horizontal="left" vertical="center" wrapText="1"/>
    </xf>
    <xf numFmtId="164" fontId="10" fillId="0" borderId="0" xfId="0" applyNumberFormat="1" applyFont="1" applyAlignment="1">
      <alignment horizontal="center"/>
    </xf>
    <xf numFmtId="164" fontId="10" fillId="2" borderId="2" xfId="0" applyNumberFormat="1" applyFont="1" applyFill="1" applyBorder="1" applyAlignment="1">
      <alignment horizontal="center" vertical="center" wrapText="1"/>
    </xf>
    <xf numFmtId="164" fontId="10" fillId="0" borderId="0" xfId="0" applyNumberFormat="1" applyFont="1" applyAlignment="1">
      <alignment horizontal="center" vertical="center" wrapText="1" readingOrder="1"/>
    </xf>
    <xf numFmtId="0" fontId="10" fillId="0" borderId="2" xfId="0" applyFont="1" applyBorder="1" applyAlignment="1">
      <alignment horizontal="left" vertical="center" wrapText="1" readingOrder="1"/>
    </xf>
    <xf numFmtId="164" fontId="10" fillId="0" borderId="2" xfId="0" applyNumberFormat="1" applyFont="1" applyBorder="1" applyAlignment="1">
      <alignment horizontal="center" vertical="center" wrapText="1" readingOrder="1"/>
    </xf>
    <xf numFmtId="20" fontId="10" fillId="0" borderId="0" xfId="0" applyNumberFormat="1" applyFont="1" applyAlignment="1">
      <alignment horizontal="center" vertical="center" wrapText="1" readingOrder="1"/>
    </xf>
    <xf numFmtId="0" fontId="25" fillId="0" borderId="0" xfId="2" applyFont="1"/>
    <xf numFmtId="20" fontId="10" fillId="0" borderId="2" xfId="0" applyNumberFormat="1" applyFont="1" applyBorder="1" applyAlignment="1">
      <alignment horizontal="center" vertical="center" wrapText="1" readingOrder="1"/>
    </xf>
    <xf numFmtId="0" fontId="10" fillId="0" borderId="0" xfId="0" quotePrefix="1" applyFont="1" applyAlignment="1">
      <alignment horizontal="left" vertical="center" wrapText="1" readingOrder="1"/>
    </xf>
    <xf numFmtId="0" fontId="20" fillId="0" borderId="2" xfId="0" applyFont="1" applyBorder="1" applyAlignment="1">
      <alignment horizontal="left" vertical="center" wrapText="1"/>
    </xf>
    <xf numFmtId="20" fontId="20" fillId="0" borderId="2" xfId="0" applyNumberFormat="1" applyFont="1" applyBorder="1" applyAlignment="1">
      <alignment horizontal="center" vertical="center" wrapText="1"/>
    </xf>
    <xf numFmtId="0" fontId="20" fillId="0" borderId="2" xfId="0" applyFont="1" applyBorder="1"/>
    <xf numFmtId="0" fontId="20" fillId="0" borderId="0" xfId="0" quotePrefix="1" applyFont="1" applyAlignment="1">
      <alignment horizontal="left" vertical="center" wrapText="1"/>
    </xf>
    <xf numFmtId="0" fontId="20" fillId="0" borderId="0" xfId="0" applyFont="1"/>
    <xf numFmtId="164" fontId="22" fillId="0" borderId="0" xfId="0" applyNumberFormat="1" applyFont="1" applyAlignment="1">
      <alignment horizontal="center" vertical="center" wrapText="1"/>
    </xf>
    <xf numFmtId="164" fontId="22" fillId="2" borderId="0" xfId="1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9" fillId="2" borderId="0" xfId="0" applyFont="1" applyFill="1" applyAlignment="1">
      <alignment vertical="top"/>
    </xf>
    <xf numFmtId="0" fontId="9" fillId="2" borderId="0" xfId="0" applyFont="1" applyFill="1" applyAlignment="1">
      <alignment vertical="top" wrapText="1"/>
    </xf>
    <xf numFmtId="0" fontId="9" fillId="2" borderId="0" xfId="0" applyFont="1" applyFill="1" applyAlignment="1">
      <alignment horizontal="left" vertical="top" wrapText="1"/>
    </xf>
    <xf numFmtId="164" fontId="9" fillId="2" borderId="0" xfId="0" applyNumberFormat="1" applyFont="1" applyFill="1" applyAlignment="1">
      <alignment vertical="top" wrapText="1"/>
    </xf>
    <xf numFmtId="164" fontId="9" fillId="2" borderId="0" xfId="1" applyNumberFormat="1" applyFont="1" applyFill="1" applyBorder="1" applyAlignment="1">
      <alignment horizontal="center" vertical="top" wrapText="1"/>
    </xf>
    <xf numFmtId="164" fontId="9" fillId="2" borderId="0" xfId="0" applyNumberFormat="1" applyFont="1" applyFill="1" applyAlignment="1">
      <alignment horizontal="center" vertical="top" wrapText="1"/>
    </xf>
    <xf numFmtId="0" fontId="10" fillId="0" borderId="0" xfId="0" applyFont="1" applyAlignment="1">
      <alignment horizontal="center" vertical="center" wrapText="1" readingOrder="1"/>
    </xf>
    <xf numFmtId="0" fontId="25" fillId="0" borderId="0" xfId="2" applyFont="1" applyAlignment="1">
      <alignment horizontal="left" vertical="center" wrapText="1" readingOrder="1"/>
    </xf>
    <xf numFmtId="0" fontId="9" fillId="2" borderId="0" xfId="0" applyFont="1" applyFill="1" applyAlignment="1">
      <alignment horizontal="left" vertical="top"/>
    </xf>
    <xf numFmtId="0" fontId="9" fillId="2" borderId="0" xfId="0" applyFont="1" applyFill="1" applyAlignment="1">
      <alignment vertical="center" wrapText="1"/>
    </xf>
    <xf numFmtId="164" fontId="9" fillId="2" borderId="0" xfId="0" applyNumberFormat="1" applyFont="1" applyFill="1" applyAlignment="1">
      <alignment vertical="center" wrapText="1"/>
    </xf>
    <xf numFmtId="0" fontId="9" fillId="2" borderId="0" xfId="0" applyFont="1" applyFill="1" applyAlignment="1">
      <alignment vertical="center"/>
    </xf>
    <xf numFmtId="164" fontId="10" fillId="0" borderId="0" xfId="1" applyNumberFormat="1" applyFont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164" fontId="10" fillId="0" borderId="0" xfId="0" applyNumberFormat="1" applyFont="1" applyAlignment="1">
      <alignment horizontal="left"/>
    </xf>
    <xf numFmtId="164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/>
    </xf>
    <xf numFmtId="164" fontId="10" fillId="0" borderId="0" xfId="1" applyNumberFormat="1" applyFont="1" applyBorder="1" applyAlignment="1">
      <alignment horizontal="center"/>
    </xf>
    <xf numFmtId="164" fontId="10" fillId="0" borderId="0" xfId="0" applyNumberFormat="1" applyFont="1"/>
    <xf numFmtId="164" fontId="9" fillId="0" borderId="0" xfId="0" applyNumberFormat="1" applyFont="1" applyAlignment="1">
      <alignment horizontal="center"/>
    </xf>
    <xf numFmtId="164" fontId="9" fillId="0" borderId="0" xfId="1" applyNumberFormat="1" applyFont="1" applyBorder="1" applyAlignment="1">
      <alignment horizontal="center"/>
    </xf>
    <xf numFmtId="164" fontId="9" fillId="0" borderId="0" xfId="0" applyNumberFormat="1" applyFont="1"/>
    <xf numFmtId="0" fontId="10" fillId="0" borderId="0" xfId="0" applyFont="1" applyAlignment="1">
      <alignment horizontal="left" wrapText="1"/>
    </xf>
    <xf numFmtId="0" fontId="19" fillId="0" borderId="0" xfId="0" applyFont="1" applyAlignment="1">
      <alignment horizontal="left" vertical="center" wrapText="1"/>
    </xf>
    <xf numFmtId="0" fontId="15" fillId="5" borderId="0" xfId="0" applyFont="1" applyFill="1" applyAlignment="1">
      <alignment horizontal="left" vertical="center"/>
    </xf>
    <xf numFmtId="0" fontId="15" fillId="5" borderId="0" xfId="0" applyFont="1" applyFill="1" applyAlignment="1">
      <alignment vertical="center"/>
    </xf>
    <xf numFmtId="0" fontId="15" fillId="5" borderId="0" xfId="0" applyFont="1" applyFill="1" applyAlignment="1">
      <alignment horizontal="left" vertical="center" wrapText="1"/>
    </xf>
    <xf numFmtId="164" fontId="15" fillId="5" borderId="0" xfId="0" applyNumberFormat="1" applyFont="1" applyFill="1" applyAlignment="1">
      <alignment horizontal="center" vertical="center" wrapText="1"/>
    </xf>
    <xf numFmtId="164" fontId="15" fillId="5" borderId="0" xfId="1" applyNumberFormat="1" applyFont="1" applyFill="1" applyBorder="1" applyAlignment="1">
      <alignment horizontal="center" vertical="center" wrapText="1"/>
    </xf>
    <xf numFmtId="0" fontId="15" fillId="5" borderId="0" xfId="0" applyFont="1" applyFill="1" applyAlignment="1">
      <alignment horizontal="center" vertical="center" wrapText="1"/>
    </xf>
    <xf numFmtId="0" fontId="28" fillId="0" borderId="0" xfId="0" applyFont="1"/>
    <xf numFmtId="20" fontId="26" fillId="0" borderId="0" xfId="0" applyNumberFormat="1" applyFont="1" applyAlignment="1">
      <alignment horizontal="left" vertical="center"/>
    </xf>
    <xf numFmtId="20" fontId="26" fillId="0" borderId="0" xfId="0" applyNumberFormat="1" applyFont="1" applyAlignment="1">
      <alignment horizontal="center" vertical="center" wrapText="1"/>
    </xf>
    <xf numFmtId="0" fontId="26" fillId="0" borderId="0" xfId="0" applyFont="1" applyAlignment="1">
      <alignment horizontal="left" vertical="center" wrapText="1"/>
    </xf>
    <xf numFmtId="164" fontId="26" fillId="0" borderId="0" xfId="0" applyNumberFormat="1" applyFont="1" applyAlignment="1">
      <alignment horizontal="center" vertical="center" wrapText="1"/>
    </xf>
    <xf numFmtId="164" fontId="26" fillId="0" borderId="0" xfId="1" applyNumberFormat="1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6" fillId="0" borderId="0" xfId="0" applyFont="1"/>
    <xf numFmtId="0" fontId="26" fillId="0" borderId="0" xfId="0" applyFont="1" applyAlignment="1">
      <alignment horizontal="left" vertical="center"/>
    </xf>
    <xf numFmtId="0" fontId="26" fillId="0" borderId="0" xfId="0" quotePrefix="1" applyFont="1" applyAlignment="1">
      <alignment horizontal="left" vertical="center" wrapText="1"/>
    </xf>
    <xf numFmtId="20" fontId="26" fillId="0" borderId="0" xfId="0" applyNumberFormat="1" applyFont="1" applyAlignment="1">
      <alignment horizontal="left" vertical="center" wrapText="1"/>
    </xf>
    <xf numFmtId="164" fontId="26" fillId="0" borderId="0" xfId="1" applyNumberFormat="1" applyFont="1" applyBorder="1" applyAlignment="1">
      <alignment horizontal="center" vertical="center" wrapText="1"/>
    </xf>
    <xf numFmtId="20" fontId="26" fillId="0" borderId="0" xfId="0" applyNumberFormat="1" applyFont="1" applyAlignment="1">
      <alignment horizontal="center" vertical="center" wrapText="1" readingOrder="1"/>
    </xf>
    <xf numFmtId="0" fontId="26" fillId="0" borderId="0" xfId="0" applyFont="1" applyAlignment="1">
      <alignment horizontal="left" vertical="center" wrapText="1" readingOrder="1"/>
    </xf>
    <xf numFmtId="0" fontId="2" fillId="0" borderId="0" xfId="2" applyAlignment="1">
      <alignment horizontal="left" vertical="center" wrapText="1"/>
    </xf>
    <xf numFmtId="0" fontId="2" fillId="0" borderId="0" xfId="2" quotePrefix="1" applyAlignment="1">
      <alignment horizontal="left" vertical="center" wrapText="1"/>
    </xf>
    <xf numFmtId="0" fontId="26" fillId="0" borderId="0" xfId="0" quotePrefix="1" applyFont="1" applyAlignment="1">
      <alignment horizontal="left" vertical="center" wrapText="1" readingOrder="1"/>
    </xf>
    <xf numFmtId="164" fontId="10" fillId="0" borderId="0" xfId="0" quotePrefix="1" applyNumberFormat="1" applyFont="1" applyAlignment="1">
      <alignment horizontal="center"/>
    </xf>
    <xf numFmtId="43" fontId="10" fillId="0" borderId="0" xfId="0" applyNumberFormat="1" applyFont="1"/>
    <xf numFmtId="0" fontId="27" fillId="0" borderId="0" xfId="0" quotePrefix="1" applyFont="1" applyAlignment="1">
      <alignment horizontal="left" vertical="center" wrapText="1"/>
    </xf>
    <xf numFmtId="0" fontId="29" fillId="6" borderId="6" xfId="0" applyFont="1" applyFill="1" applyBorder="1" applyAlignment="1">
      <alignment horizontal="center" vertical="center"/>
    </xf>
    <xf numFmtId="0" fontId="33" fillId="11" borderId="6" xfId="0" applyFont="1" applyFill="1" applyBorder="1"/>
    <xf numFmtId="0" fontId="28" fillId="10" borderId="6" xfId="0" applyFont="1" applyFill="1" applyBorder="1"/>
    <xf numFmtId="0" fontId="28" fillId="0" borderId="6" xfId="0" applyFont="1" applyBorder="1"/>
    <xf numFmtId="0" fontId="31" fillId="8" borderId="6" xfId="0" applyFont="1" applyFill="1" applyBorder="1" applyAlignment="1">
      <alignment horizontal="center" vertical="center" wrapText="1"/>
    </xf>
    <xf numFmtId="0" fontId="30" fillId="8" borderId="6" xfId="0" applyFont="1" applyFill="1" applyBorder="1" applyAlignment="1">
      <alignment horizontal="left" vertical="center" wrapText="1"/>
    </xf>
    <xf numFmtId="0" fontId="32" fillId="8" borderId="6" xfId="0" applyFont="1" applyFill="1" applyBorder="1" applyAlignment="1">
      <alignment horizontal="left" vertical="center" wrapText="1"/>
    </xf>
    <xf numFmtId="0" fontId="31" fillId="9" borderId="6" xfId="0" applyFont="1" applyFill="1" applyBorder="1" applyAlignment="1">
      <alignment horizontal="center" vertical="center" wrapText="1"/>
    </xf>
    <xf numFmtId="0" fontId="30" fillId="9" borderId="6" xfId="0" applyFont="1" applyFill="1" applyBorder="1" applyAlignment="1">
      <alignment horizontal="left" vertical="center" wrapText="1"/>
    </xf>
    <xf numFmtId="0" fontId="32" fillId="9" borderId="6" xfId="0" applyFont="1" applyFill="1" applyBorder="1" applyAlignment="1">
      <alignment horizontal="left" vertical="center" wrapText="1"/>
    </xf>
    <xf numFmtId="0" fontId="2" fillId="0" borderId="6" xfId="2" applyBorder="1"/>
    <xf numFmtId="0" fontId="34" fillId="0" borderId="6" xfId="0" applyFont="1" applyBorder="1"/>
    <xf numFmtId="20" fontId="31" fillId="8" borderId="6" xfId="0" applyNumberFormat="1" applyFont="1" applyFill="1" applyBorder="1" applyAlignment="1">
      <alignment horizontal="center" vertical="center" wrapText="1"/>
    </xf>
    <xf numFmtId="0" fontId="31" fillId="8" borderId="6" xfId="0" quotePrefix="1" applyFont="1" applyFill="1" applyBorder="1" applyAlignment="1">
      <alignment horizontal="center" vertical="center" wrapText="1"/>
    </xf>
    <xf numFmtId="0" fontId="32" fillId="8" borderId="6" xfId="0" applyFont="1" applyFill="1" applyBorder="1" applyAlignment="1">
      <alignment horizontal="left" vertical="center"/>
    </xf>
    <xf numFmtId="0" fontId="32" fillId="9" borderId="6" xfId="0" applyFont="1" applyFill="1" applyBorder="1" applyAlignment="1">
      <alignment horizontal="left" vertical="center"/>
    </xf>
    <xf numFmtId="0" fontId="2" fillId="0" borderId="0" xfId="2" applyAlignment="1"/>
    <xf numFmtId="0" fontId="30" fillId="7" borderId="6" xfId="0" applyFont="1" applyFill="1" applyBorder="1" applyAlignment="1">
      <alignment horizontal="left" vertical="center"/>
    </xf>
    <xf numFmtId="0" fontId="28" fillId="0" borderId="6" xfId="0" applyFont="1" applyBorder="1"/>
    <xf numFmtId="0" fontId="30" fillId="10" borderId="6" xfId="0" applyFont="1" applyFill="1" applyBorder="1" applyAlignment="1">
      <alignment horizontal="left" vertical="center"/>
    </xf>
    <xf numFmtId="0" fontId="28" fillId="10" borderId="6" xfId="0" applyFont="1" applyFill="1" applyBorder="1"/>
    <xf numFmtId="0" fontId="6" fillId="0" borderId="1" xfId="0" applyFont="1" applyBorder="1" applyAlignment="1">
      <alignment horizontal="left" vertical="center" wrapText="1" readingOrder="1"/>
    </xf>
    <xf numFmtId="0" fontId="16" fillId="4" borderId="0" xfId="0" applyFont="1" applyFill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vertical="center" wrapText="1"/>
    </xf>
    <xf numFmtId="0" fontId="10" fillId="0" borderId="5" xfId="0" quotePrefix="1" applyFont="1" applyBorder="1" applyAlignment="1">
      <alignment horizontal="left" vertical="center" wrapText="1"/>
    </xf>
    <xf numFmtId="0" fontId="20" fillId="0" borderId="0" xfId="0" quotePrefix="1" applyFont="1" applyAlignment="1">
      <alignment vertical="center" wrapText="1"/>
    </xf>
    <xf numFmtId="0" fontId="20" fillId="0" borderId="5" xfId="0" quotePrefix="1" applyFont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center" wrapText="1"/>
    </xf>
  </cellXfs>
  <cellStyles count="3">
    <cellStyle name="Comma" xfId="1" builtinId="3"/>
    <cellStyle name="Hyperlink" xfId="2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booking.com/hotel/jp/yumemeng-dong-wu-yuan-qian-dian.vi.html?aid=304142&amp;label=gen173nr-1FCAEoggI46AdIM1gEaPQBiAEBmAEquAEHyAEM2AEB6AEB-AEMiAIBqAIDuAL0q4e-BsACAdICJDEyNWM1N2QxLWE0NmItNDY5Zi05N2Q5LTUwNzRmMDZkN2E3ZdgCBuACAQ&amp;sid=46795f6f90f0a66db4de81dfd058d038&amp;all_sr_blocks=1269644802_400782651_3_0_0&amp;checkin=2025-06-06&amp;checkout=2025-06-09&amp;dest_id=-240905&amp;dest_type=city&amp;dist=0&amp;group_adults=3&amp;group_children=0&amp;hapos=9&amp;highlighted_blocks=1269644802_400782651_3_0_0&amp;hpos=9&amp;matching_block_id=1269644802_400782651_3_0_0&amp;no_rooms=1&amp;req_adults=3&amp;req_children=0&amp;room1=A%2CA%2CA&amp;sb_price_type=total&amp;sr_order=popularity&amp;sr_pri_blocks=1269644802_400782651_3_0_0__1620000&amp;srepoch=1740758663&amp;srpvid=db4070b93c0302b0&amp;type=total&amp;ucfs=1" TargetMode="External"/><Relationship Id="rId1" Type="http://schemas.openxmlformats.org/officeDocument/2006/relationships/hyperlink" Target="https://www.airbnb.com.vn/rooms/1274382763802396122?adults=3&amp;check_in=2025-06-02&amp;check_out=2025-06-05&amp;search_mode=regular_search&amp;category_tag=Tag%3A8678&amp;photo_id=2017378953&amp;source_impression_id=p3_1740757008_P3oVXV6Me3Xj-5A6&amp;previous_page_section_name=1000&amp;federated_search_id=84f3ff16-cbe7-440c-97b2-32eee3ddc960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maps.app.goo.gl/zYM4TuGDoJiUeNkm9" TargetMode="External"/><Relationship Id="rId3" Type="http://schemas.openxmlformats.org/officeDocument/2006/relationships/hyperlink" Target="https://www.klook.com/vi/activity/131587-mount-fuji-photogenic-tour-with-lunch-option-from-tokyo/" TargetMode="External"/><Relationship Id="rId7" Type="http://schemas.openxmlformats.org/officeDocument/2006/relationships/hyperlink" Target="https://maps.app.goo.gl/7zfKsRw2vuFkU1Zj6" TargetMode="External"/><Relationship Id="rId2" Type="http://schemas.openxmlformats.org/officeDocument/2006/relationships/hyperlink" Target="https://www.keisei.co.jp/keisei/tetudou/skyliner/us/tickets/subway.php" TargetMode="External"/><Relationship Id="rId1" Type="http://schemas.openxmlformats.org/officeDocument/2006/relationships/hyperlink" Target="https://www.keisei.co.jp/keisei/tetudou/skyliner/us/tickets/subway.php" TargetMode="External"/><Relationship Id="rId6" Type="http://schemas.openxmlformats.org/officeDocument/2006/relationships/hyperlink" Target="https://www.klook.com/vi/activity/70672-shibuya-sky-tokyo/?klc_l1=display&amp;klc_l2=google&amp;utm_medium=display&amp;utm_content=campaignid_21706492989_adgroupid_&amp;gad_source=1&amp;gclid=Cj0KCQjw-e6-BhDmARIsAOxxlxUqhKkxWy9tdVbEvWK5qZXKqmrTc_73XoOFMYU5Le4KuupuCXvkhqcaAuG6EALw_wcB" TargetMode="External"/><Relationship Id="rId5" Type="http://schemas.openxmlformats.org/officeDocument/2006/relationships/hyperlink" Target="https://oneday-pass.kyoto/overview/sales/?lang=en" TargetMode="External"/><Relationship Id="rId4" Type="http://schemas.openxmlformats.org/officeDocument/2006/relationships/hyperlink" Target="https://maps.app.goo.gl/1X4pA9ueMGmUwuNH8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us.trip.com/hotels/detail/?cityId=228&amp;hotelId=688575&amp;checkIn=2026-11-27&amp;checkOut=2026-11-28&amp;adult=2&amp;children=0&amp;subStamp=1360&amp;crn=1&amp;ages=&amp;travelpurpose=0&amp;curr=VND&amp;link=title&amp;hoteluniquekey=H4sIAAAAAAAA_-NaxsjFJMEkxMTBKDWbkaO1ae1bViFGI4Nt_BZPsxw1Y_oPfZ3S4OBpy3V9cYFtk0MAzyRGSU5jEEgOdRCsFlnn_rAq2MGJlePMiU7GGYz7m7VWMDJuZPR4WCWyrt3LYQcj0wnGF-21C5hmreqQ3cUEUXeIiYXjyQGeU0wMl5gYbjExPGJieMXE8ImJ4RdUQRMzQxczwyRmsLJZzAyLmBmkeE2TkpINzJPNzIws0tIUhDTu7Np7ns3ICehw1ikHnk9jV2DUEowP8QzzMzLJMbcwLS-tqjCpMmCcxMgUGnyKUcrQ3NTM3MTCxNjI0MBUz8gkySKsODk_0DMixYpZitHNgzGIzczFzNLCMUqLizk02EXQeW3mvUIvaQcp5jA_F0WmB-tNtv0wsNdi9gqINMz_OufLvo9L7ZNYU_N0Q4MzjosVMHYxcggwejBGMFYwvmIE6fkBCg4ADPIVkGEBAAA&amp;subChannel=&amp;masterhotelid_tracelogid=5bbc07c6628ff&amp;NewTaxDescForAmountshowtype0=T&amp;detailFilters=17%7C1%7E17%7E1*80%7C0%7C1%7E80%7E0*10%7C8254905%7E10%7E35.7333333%7C139.7394444%7CSugamo+Station%7C8254905%7Chcz%7C1*75%7CTAG_495%7E75%7E495&amp;hotelType=normal&amp;display=exavg&amp;barcurr=VND&amp;locale=en-US" TargetMode="External"/><Relationship Id="rId1" Type="http://schemas.openxmlformats.org/officeDocument/2006/relationships/hyperlink" Target="https://us.trip.com/hotels/detail/?cityId=228&amp;hotelId=688575&amp;checkIn=2026-11-27&amp;checkOut=2026-11-28&amp;adult=2&amp;children=0&amp;subStamp=1360&amp;crn=1&amp;ages=&amp;travelpurpose=0&amp;curr=VND&amp;link=title&amp;hoteluniquekey=H4sIAAAAAAAA_-NaxsjFJMEkxMTBKDWbkaO1ae1bViFGI4Nt_BZPsxw1Y_oPfZ3S4OBpy3V9cYFtk0MAzyRGSU5jEEgOdRCsFlnn_rAq2MGJlePMiU7GGYz7m7VWMDJuZPR4WCWyrt3LYQcj0wnGF-21C5hmreqQ3cUEUXeIiYXjyQGeU0wMl5gYbjExPGJieMXE8ImJ4RdUQRMzQxczwyRmsLJZzAyLmBmkeE2TkpINzJPNzIws0tIUhDTu7Np7ns3ICehw1ikHnk9jV2DUEowP8QzzMzLJMbcwLS-tqjCpMmCcxMgUGnyKUcrQ3NTM3MTCxNjI0MBUz8gkySKsODk_0DMixYpZitHNgzGIzczFzNLCMUqLizk02EXQeW3mvUIvaQcp5jA_F0WmB-tNtv0wsNdi9gqINMz_OufLvo9L7ZNYU_N0Q4MzjosVMHYxcggwejBGMFYwvmIE6fkBCg4ADPIVkGEBAAA&amp;subChannel=&amp;masterhotelid_tracelogid=5bbc07c6628ff&amp;NewTaxDescForAmountshowtype0=T&amp;detailFilters=17%7C1%7E17%7E1*80%7C0%7C1%7E80%7E0*10%7C8254905%7E10%7E35.7333333%7C139.7394444%7CSugamo+Station%7C8254905%7Chcz%7C1*75%7CTAG_495%7E75%7E495&amp;hotelType=normal&amp;display=exavg&amp;barcurr=VND&amp;locale=en-US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ipadvisor.com.vn/Restaurant_Review-g1066456-d1688898-Reviews-Ichiran_Shibuya-Shibuya_Tokyo_Tokyo_Prefecture_Kanto.html" TargetMode="External"/><Relationship Id="rId13" Type="http://schemas.openxmlformats.org/officeDocument/2006/relationships/hyperlink" Target="https://maps.app.goo.gl/piPezeSAVC9Kevcz6" TargetMode="External"/><Relationship Id="rId18" Type="http://schemas.openxmlformats.org/officeDocument/2006/relationships/hyperlink" Target="https://maps.app.goo.gl/Aqy6EouE5zPuN1FZ8" TargetMode="External"/><Relationship Id="rId3" Type="http://schemas.openxmlformats.org/officeDocument/2006/relationships/hyperlink" Target="https://www.klook.com/vi/activity/131587-mount-fuji-photogenic-tour-with-lunch-option-from-tokyo/" TargetMode="External"/><Relationship Id="rId21" Type="http://schemas.openxmlformats.org/officeDocument/2006/relationships/printerSettings" Target="../printerSettings/printerSettings2.bin"/><Relationship Id="rId7" Type="http://schemas.openxmlformats.org/officeDocument/2006/relationships/hyperlink" Target="https://maps.app.goo.gl/zYM4TuGDoJiUeNkm9" TargetMode="External"/><Relationship Id="rId12" Type="http://schemas.openxmlformats.org/officeDocument/2006/relationships/hyperlink" Target="https://www.google.com/maps?q=Gion+Unagi+Kawato,+572-27+Gionmachi+Minamigawa,+Higashiyama+Ward,+Kyoto,+605-0074,+Nh%E1%BA%ADt+B%E1%BA%A3n&amp;ftid=0x600109c0539c2421:0x9b0851ac1d7eb9b7&amp;entry=gps&amp;lucs=,94224825,94227247,94227248,94231188,47071704,47069508,94218641,94203019,47084304,94208458,94208447&amp;g_ep=CAISEjI1LjEyLjEuNzM3NzM5MTA4MBgAIIgnKmMsOTQyMjQ4MjUsOTQyMjcyNDcsOTQyMjcyNDgsOTQyMzExODgsNDcwNzE3MDQsNDcwNjk1MDgsOTQyMTg2NDEsOTQyMDMwMTksNDcwODQzMDQsOTQyMDg0NTgsOTQyMDg0NDdCAlZO&amp;skid=7e1da7a4-4a51-49cc-9ac7-bf1c1d91b64f&amp;g_st=com.google.maps.preview.copy" TargetMode="External"/><Relationship Id="rId17" Type="http://schemas.openxmlformats.org/officeDocument/2006/relationships/hyperlink" Target="https://www.facebook.com/lacoste.keke" TargetMode="External"/><Relationship Id="rId2" Type="http://schemas.openxmlformats.org/officeDocument/2006/relationships/hyperlink" Target="https://www.keisei.co.jp/keisei/tetudou/skyliner/us/tickets/subway.php" TargetMode="External"/><Relationship Id="rId16" Type="http://schemas.openxmlformats.org/officeDocument/2006/relationships/hyperlink" Target="https://maps.app.goo.gl/BYzhjpuuBa1USEDu6" TargetMode="External"/><Relationship Id="rId20" Type="http://schemas.openxmlformats.org/officeDocument/2006/relationships/hyperlink" Target="https://www.kintetsu.co.jp/foreign/english/ticket/krp_1day.html" TargetMode="External"/><Relationship Id="rId1" Type="http://schemas.openxmlformats.org/officeDocument/2006/relationships/hyperlink" Target="https://www.keisei.co.jp/keisei/tetudou/skyliner/us/tickets/subway.php" TargetMode="External"/><Relationship Id="rId6" Type="http://schemas.openxmlformats.org/officeDocument/2006/relationships/hyperlink" Target="https://maps.google.com/maps?saddr=&amp;daddr=9-20%20Kakudacho,%20Kita-Ku%20Shin%20Umeda%20Shokudogai,%20Osaka%20530-0017%20Osaka%20Prefecture@34.703644,135.49794" TargetMode="External"/><Relationship Id="rId11" Type="http://schemas.openxmlformats.org/officeDocument/2006/relationships/hyperlink" Target="https://maps.app.goo.gl/unLVdufrvSJrUHWL9" TargetMode="External"/><Relationship Id="rId5" Type="http://schemas.openxmlformats.org/officeDocument/2006/relationships/hyperlink" Target="https://oneday-pass.kyoto/overview/sales/?lang=en" TargetMode="External"/><Relationship Id="rId15" Type="http://schemas.openxmlformats.org/officeDocument/2006/relationships/hyperlink" Target="https://maps.app.goo.gl/WUavkuQHnsFWi8746" TargetMode="External"/><Relationship Id="rId10" Type="http://schemas.openxmlformats.org/officeDocument/2006/relationships/hyperlink" Target="https://maps.app.goo.gl/uRky5x1Kcav5Rb5o9" TargetMode="External"/><Relationship Id="rId19" Type="http://schemas.openxmlformats.org/officeDocument/2006/relationships/hyperlink" Target="https://maps.app.goo.gl/7zfKsRw2vuFkU1Zj6" TargetMode="External"/><Relationship Id="rId4" Type="http://schemas.openxmlformats.org/officeDocument/2006/relationships/hyperlink" Target="https://maps.app.goo.gl/1X4pA9ueMGmUwuNH8" TargetMode="External"/><Relationship Id="rId9" Type="http://schemas.openxmlformats.org/officeDocument/2006/relationships/hyperlink" Target="https://maps.app.goo.gl/kUwZP1ThAmSzaRqXA" TargetMode="External"/><Relationship Id="rId14" Type="http://schemas.openxmlformats.org/officeDocument/2006/relationships/hyperlink" Target="https://maps.app.goo.gl/6KRTStRuaBfotppc9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iktok.com/@wethecurioustravelers/video/7350291288496901394?is_from_webapp=1&amp;sender_device=pc&amp;web_id=7410061434220971537" TargetMode="External"/><Relationship Id="rId13" Type="http://schemas.openxmlformats.org/officeDocument/2006/relationships/hyperlink" Target="../../../../../:i:/g/personal/minhpq_bsc_com_vn/IQAXPBG9UnBwTpQs2Cy7dpXpAc6j4EmwAca4CHmqqL26Ypo?e=0im2m3" TargetMode="External"/><Relationship Id="rId18" Type="http://schemas.openxmlformats.org/officeDocument/2006/relationships/hyperlink" Target="../../../../../:i:/g/personal/minhpq_bsc_com_vn/IQB4flsAI45cT5GSnsKF_MDyATLDL6sOsro-94ct9itxw2E?e=EcabOO" TargetMode="External"/><Relationship Id="rId26" Type="http://schemas.openxmlformats.org/officeDocument/2006/relationships/hyperlink" Target="../../../../../:i:/g/personal/minhpq_bsc_com_vn/IQCreXQiRgOFS7ggHlFNPGp-AWqnApOir01Hof4dqpVIekQ?e=mUwQxU" TargetMode="External"/><Relationship Id="rId3" Type="http://schemas.openxmlformats.org/officeDocument/2006/relationships/hyperlink" Target="https://maps.app.goo.gl/t1SnqWYUNsLD9mvk7" TargetMode="External"/><Relationship Id="rId21" Type="http://schemas.openxmlformats.org/officeDocument/2006/relationships/hyperlink" Target="../../../../../:i:/g/personal/minhpq_bsc_com_vn/IQBfyu8zoXY_S5rF3ovv-j0hAS_Dfy_5GKsvUkE7i_A5ifY?e=h7e9ry" TargetMode="External"/><Relationship Id="rId7" Type="http://schemas.openxmlformats.org/officeDocument/2006/relationships/hyperlink" Target="https://share.google/HkyzWgzwgKD1EYvWY" TargetMode="External"/><Relationship Id="rId12" Type="http://schemas.openxmlformats.org/officeDocument/2006/relationships/hyperlink" Target="../../../../../:i:/g/personal/minhpq_bsc_com_vn/IQBp3M4_NE2ZSqD9q9pU2peIAbbcnde8yXTFMnIdHEkDNfY?e=azQcmM" TargetMode="External"/><Relationship Id="rId17" Type="http://schemas.openxmlformats.org/officeDocument/2006/relationships/hyperlink" Target="../../../../../:i:/g/personal/minhpq_bsc_com_vn/IQASN3PAbS_HQIQR0_FD5n1SAYmOugjFcG6-uReJwtgcCYE?e=rWuANF" TargetMode="External"/><Relationship Id="rId25" Type="http://schemas.openxmlformats.org/officeDocument/2006/relationships/hyperlink" Target="../../../../../:i:/g/personal/minhpq_bsc_com_vn/IQBglvt4QjBBQajia7NdromiAQo2Yakgyt_EjAYVvmRmn4E?e=eE8Exg" TargetMode="External"/><Relationship Id="rId2" Type="http://schemas.openxmlformats.org/officeDocument/2006/relationships/hyperlink" Target="https://maps.app.goo.gl/BmYZxEzfSyLjgQyp9" TargetMode="External"/><Relationship Id="rId16" Type="http://schemas.openxmlformats.org/officeDocument/2006/relationships/hyperlink" Target="../../../../../:i:/r/personal/minhpq_bsc_com_vn/Documents/09_CODER/00_travel-app/2_day2_sushiro.png?d=wb0250abb38c644958a658f4efc667c78&amp;csf=1&amp;web=1&amp;e=sTFbPf" TargetMode="External"/><Relationship Id="rId20" Type="http://schemas.openxmlformats.org/officeDocument/2006/relationships/hyperlink" Target="../../../../../:i:/g/personal/minhpq_bsc_com_vn/IQDF_KiPSjFrR7ZlWEvC0H4SAb_fZExec5v9qbF93OoLF24?e=z1Dw9D" TargetMode="External"/><Relationship Id="rId29" Type="http://schemas.openxmlformats.org/officeDocument/2006/relationships/hyperlink" Target="../../../../../:i:/g/personal/minhpq_bsc_com_vn/IQBvxNjcSnLqT7jKgOPhtaV8AWmmNNqk6oh9a1lt8vbQuno?e=btuKan" TargetMode="External"/><Relationship Id="rId1" Type="http://schemas.openxmlformats.org/officeDocument/2006/relationships/hyperlink" Target="https://www.kuronekoyamato.co.jp/ytc/en/send/services/airport/narita2_send.html" TargetMode="External"/><Relationship Id="rId6" Type="http://schemas.openxmlformats.org/officeDocument/2006/relationships/hyperlink" Target="https://share.google/07foiHP82iKKrDXLN" TargetMode="External"/><Relationship Id="rId11" Type="http://schemas.openxmlformats.org/officeDocument/2006/relationships/hyperlink" Target="../../../../../:i:/g/personal/minhpq_bsc_com_vn/IQBD7wUT2k48SJvkY0upbYohAdgDcb1iOTuvIsmrngBhf7A?e=VOHk4h" TargetMode="External"/><Relationship Id="rId24" Type="http://schemas.openxmlformats.org/officeDocument/2006/relationships/hyperlink" Target="../../../../../:i:/g/personal/minhpq_bsc_com_vn/IQBtCFI7kvt6S4y0muApJt5iAVkKRs1rJwS249vVPd4-ruQ?e=fAZj4X" TargetMode="External"/><Relationship Id="rId5" Type="http://schemas.openxmlformats.org/officeDocument/2006/relationships/hyperlink" Target="https://share.google/glhiHLvLUNFKbIXOL" TargetMode="External"/><Relationship Id="rId15" Type="http://schemas.openxmlformats.org/officeDocument/2006/relationships/hyperlink" Target="../../../../../:i:/r/personal/minhpq_bsc_com_vn/Documents/09_CODER/00_travel-app/2_day2_disney.png?d=wc296c5a87d344b5b919adbf3ef69f77b&amp;csf=1&amp;web=1&amp;e=W92T7o" TargetMode="External"/><Relationship Id="rId23" Type="http://schemas.openxmlformats.org/officeDocument/2006/relationships/hyperlink" Target="../../../../../:i:/g/personal/minhpq_bsc_com_vn/IQDgLzikkDBqRLl3xapqOwDcATte0JTl3J8WdYBzek6Tw7Q?e=Uq0g0C" TargetMode="External"/><Relationship Id="rId28" Type="http://schemas.openxmlformats.org/officeDocument/2006/relationships/hyperlink" Target="../../../../../:i:/g/personal/minhpq_bsc_com_vn/IQAi5aJIKv75Q5U5vm6kHBDjARkqNOrYQa7d-mPqOmt_l9M?e=odHoQX" TargetMode="External"/><Relationship Id="rId10" Type="http://schemas.openxmlformats.org/officeDocument/2006/relationships/hyperlink" Target="../../../../../:i:/g/personal/minhpq_bsc_com_vn/IQAC_NSwxobKRaxlekq1zfS7AT8vNsxlweNx7X9ARb_4rxc?e=eBPDh3" TargetMode="External"/><Relationship Id="rId19" Type="http://schemas.openxmlformats.org/officeDocument/2006/relationships/hyperlink" Target="../../../../../:i:/g/personal/minhpq_bsc_com_vn/IQDVbhGnxaZFTrkivsTz8W1bAasMUv2Dp_DAc_5yASeD4jc?e=Yzxj9t" TargetMode="External"/><Relationship Id="rId31" Type="http://schemas.openxmlformats.org/officeDocument/2006/relationships/printerSettings" Target="../printerSettings/printerSettings3.bin"/><Relationship Id="rId4" Type="http://schemas.openxmlformats.org/officeDocument/2006/relationships/hyperlink" Target="https://maps.app.goo.gl/mFXM4V9B9K4DBWVz8" TargetMode="External"/><Relationship Id="rId9" Type="http://schemas.openxmlformats.org/officeDocument/2006/relationships/hyperlink" Target="https://maps.app.goo.gl/QUZeFor2cqwbRkzj7" TargetMode="External"/><Relationship Id="rId14" Type="http://schemas.openxmlformats.org/officeDocument/2006/relationships/hyperlink" Target="../../../../../:i:/g/personal/minhpq_bsc_com_vn/IQBRUb7lv3OXQKmQhgxjWPieAVVa-oUibISNnQYhKMhKaM4?e=PIYFF1" TargetMode="External"/><Relationship Id="rId22" Type="http://schemas.openxmlformats.org/officeDocument/2006/relationships/hyperlink" Target="../../../../../:i:/g/personal/minhpq_bsc_com_vn/IQBeIlMjtNl0So0gL7wAUJ8RAYxZvAF52IWD65LYwj9HdDg?e=Mgw4oP" TargetMode="External"/><Relationship Id="rId27" Type="http://schemas.openxmlformats.org/officeDocument/2006/relationships/hyperlink" Target="../../../../../:i:/g/personal/minhpq_bsc_com_vn/IQAO8_8SJog3Q4lH799OHOszARpKVXVJW3V-h72xMUw-LtY?e=fHJkTy" TargetMode="External"/><Relationship Id="rId30" Type="http://schemas.openxmlformats.org/officeDocument/2006/relationships/hyperlink" Target="../../../../../:i:/g/personal/minhpq_bsc_com_vn/IQAB-UbxLXE3QalHQcXGuVhMAY7ZhR4RXior7Gu8u3jicQ4?e=iFyZ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223EB-0A06-774B-8ABB-FD2B6BEACF61}">
  <dimension ref="B1:J14"/>
  <sheetViews>
    <sheetView workbookViewId="0">
      <selection activeCell="C20" sqref="C20"/>
    </sheetView>
  </sheetViews>
  <sheetFormatPr defaultColWidth="11.42578125" defaultRowHeight="15.75" x14ac:dyDescent="0.25"/>
  <cols>
    <col min="1" max="1" width="11.42578125" style="2"/>
    <col min="2" max="2" width="31.85546875" style="2" customWidth="1"/>
    <col min="3" max="3" width="13.140625" style="2" bestFit="1" customWidth="1"/>
    <col min="4" max="5" width="11.42578125" style="2"/>
    <col min="6" max="6" width="19.7109375" style="2" customWidth="1"/>
    <col min="7" max="7" width="11.42578125" style="2"/>
    <col min="8" max="8" width="12.42578125" style="2" bestFit="1" customWidth="1"/>
    <col min="9" max="16384" width="11.42578125" style="2"/>
  </cols>
  <sheetData>
    <row r="1" spans="2:10" x14ac:dyDescent="0.25">
      <c r="B1" s="1"/>
      <c r="C1" s="1" t="s">
        <v>0</v>
      </c>
      <c r="D1" s="1" t="s">
        <v>1</v>
      </c>
      <c r="E1" s="1" t="s">
        <v>2</v>
      </c>
      <c r="F1" s="1" t="s">
        <v>3</v>
      </c>
      <c r="H1" s="1" t="s">
        <v>4</v>
      </c>
    </row>
    <row r="2" spans="2:10" x14ac:dyDescent="0.25">
      <c r="B2" s="2" t="s">
        <v>5</v>
      </c>
      <c r="C2" s="3">
        <v>6500000</v>
      </c>
      <c r="D2" s="2">
        <v>3</v>
      </c>
      <c r="F2" s="4">
        <f>C2*D2</f>
        <v>19500000</v>
      </c>
      <c r="H2" s="5">
        <f>F2/3</f>
        <v>6500000</v>
      </c>
    </row>
    <row r="3" spans="2:10" x14ac:dyDescent="0.25">
      <c r="B3" s="2" t="s">
        <v>6</v>
      </c>
      <c r="C3" s="3">
        <v>1800000</v>
      </c>
      <c r="D3" s="2">
        <v>3</v>
      </c>
      <c r="F3" s="4">
        <f>C3*D3</f>
        <v>5400000</v>
      </c>
      <c r="H3" s="5">
        <f t="shared" ref="H3:H12" si="0">F3/3</f>
        <v>1800000</v>
      </c>
    </row>
    <row r="4" spans="2:10" x14ac:dyDescent="0.25">
      <c r="H4" s="5">
        <f t="shared" si="0"/>
        <v>0</v>
      </c>
    </row>
    <row r="5" spans="2:10" x14ac:dyDescent="0.25">
      <c r="B5" s="2" t="s">
        <v>7</v>
      </c>
      <c r="C5" s="4">
        <v>4800000</v>
      </c>
      <c r="D5" s="2">
        <v>1</v>
      </c>
      <c r="F5" s="4">
        <f>C5*D5</f>
        <v>4800000</v>
      </c>
      <c r="H5" s="5">
        <f t="shared" si="0"/>
        <v>1600000</v>
      </c>
      <c r="J5" s="6" t="s">
        <v>8</v>
      </c>
    </row>
    <row r="6" spans="2:10" x14ac:dyDescent="0.25">
      <c r="B6" s="2" t="s">
        <v>9</v>
      </c>
      <c r="C6" s="4">
        <v>3500000</v>
      </c>
      <c r="D6" s="2">
        <v>1</v>
      </c>
      <c r="F6" s="4">
        <f>C6*D6</f>
        <v>3500000</v>
      </c>
      <c r="H6" s="5">
        <f t="shared" si="0"/>
        <v>1166666.6666666667</v>
      </c>
      <c r="J6" s="8" t="s">
        <v>10</v>
      </c>
    </row>
    <row r="7" spans="2:10" x14ac:dyDescent="0.25">
      <c r="B7" s="2" t="s">
        <v>11</v>
      </c>
      <c r="C7" s="4">
        <v>5000000</v>
      </c>
      <c r="D7" s="2">
        <v>1</v>
      </c>
      <c r="F7" s="4">
        <f>C7*D7</f>
        <v>5000000</v>
      </c>
      <c r="H7" s="5">
        <f t="shared" si="0"/>
        <v>1666666.6666666667</v>
      </c>
    </row>
    <row r="9" spans="2:10" x14ac:dyDescent="0.25">
      <c r="B9" s="2" t="s">
        <v>12</v>
      </c>
      <c r="C9" s="2">
        <v>13970</v>
      </c>
      <c r="D9" s="2">
        <v>3</v>
      </c>
      <c r="E9" s="2">
        <v>170</v>
      </c>
      <c r="F9" s="5">
        <f>C9*D9*E9</f>
        <v>7124700</v>
      </c>
      <c r="H9" s="5">
        <f t="shared" si="0"/>
        <v>2374900</v>
      </c>
    </row>
    <row r="10" spans="2:10" x14ac:dyDescent="0.25">
      <c r="B10" s="2" t="s">
        <v>13</v>
      </c>
      <c r="C10" s="2">
        <v>0</v>
      </c>
      <c r="D10" s="2">
        <v>3</v>
      </c>
      <c r="H10" s="5">
        <f t="shared" si="0"/>
        <v>0</v>
      </c>
    </row>
    <row r="11" spans="2:10" x14ac:dyDescent="0.25">
      <c r="B11" s="2" t="s">
        <v>14</v>
      </c>
      <c r="C11" s="2">
        <v>5000</v>
      </c>
      <c r="D11" s="2">
        <v>30</v>
      </c>
      <c r="E11" s="2">
        <v>170</v>
      </c>
      <c r="F11" s="5">
        <f>C11*D11*E11</f>
        <v>25500000</v>
      </c>
      <c r="H11" s="5">
        <f t="shared" si="0"/>
        <v>8500000</v>
      </c>
    </row>
    <row r="12" spans="2:10" x14ac:dyDescent="0.25">
      <c r="B12" s="2" t="s">
        <v>15</v>
      </c>
      <c r="C12" s="2">
        <v>1800</v>
      </c>
      <c r="D12" s="2">
        <v>20</v>
      </c>
      <c r="E12" s="2">
        <v>170</v>
      </c>
      <c r="F12" s="5">
        <f>C12*D12*E12</f>
        <v>6120000</v>
      </c>
      <c r="H12" s="5">
        <f t="shared" si="0"/>
        <v>2040000</v>
      </c>
    </row>
    <row r="13" spans="2:10" x14ac:dyDescent="0.25">
      <c r="B13" s="2" t="s">
        <v>16</v>
      </c>
    </row>
    <row r="14" spans="2:10" s="1" customFormat="1" x14ac:dyDescent="0.25">
      <c r="B14" s="1" t="s">
        <v>17</v>
      </c>
      <c r="H14" s="7">
        <f>SUM(H2:H13)</f>
        <v>25648233.333333332</v>
      </c>
    </row>
  </sheetData>
  <hyperlinks>
    <hyperlink ref="J5" r:id="rId1" display="https://www.airbnb.com.vn/rooms/1274382763802396122?adults=3&amp;check_in=2025-06-02&amp;check_out=2025-06-05&amp;search_mode=regular_search&amp;category_tag=Tag%3A8678&amp;photo_id=2017378953&amp;source_impression_id=p3_1740757008_P3oVXV6Me3Xj-5A6&amp;previous_page_section_name=1000&amp;federated_search_id=84f3ff16-cbe7-440c-97b2-32eee3ddc960" xr:uid="{4C0BFE6A-B88A-4BF4-9A13-042293A4A3F5}"/>
    <hyperlink ref="J6" r:id="rId2" display="https://www.booking.com/hotel/jp/yumemeng-dong-wu-yuan-qian-dian.vi.html?aid=304142&amp;label=gen173nr-1FCAEoggI46AdIM1gEaPQBiAEBmAEquAEHyAEM2AEB6AEB-AEMiAIBqAIDuAL0q4e-BsACAdICJDEyNWM1N2QxLWE0NmItNDY5Zi05N2Q5LTUwNzRmMDZkN2E3ZdgCBuACAQ&amp;sid=46795f6f90f0a66db4de81dfd058d038&amp;all_sr_blocks=1269644802_400782651_3_0_0&amp;checkin=2025-06-06&amp;checkout=2025-06-09&amp;dest_id=-240905&amp;dest_type=city&amp;dist=0&amp;group_adults=3&amp;group_children=0&amp;hapos=9&amp;highlighted_blocks=1269644802_400782651_3_0_0&amp;hpos=9&amp;matching_block_id=1269644802_400782651_3_0_0&amp;no_rooms=1&amp;req_adults=3&amp;req_children=0&amp;room1=A%2CA%2CA&amp;sb_price_type=total&amp;sr_order=popularity&amp;sr_pri_blocks=1269644802_400782651_3_0_0__1620000&amp;srepoch=1740758663&amp;srpvid=db4070b93c0302b0&amp;type=total&amp;ucfs=1&amp;" xr:uid="{AB3B5A8B-DF97-4C34-A87A-B12BC737B1E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4982B-01D3-4F78-9AD3-6ACFB0D4A3C4}">
  <dimension ref="A1:J172"/>
  <sheetViews>
    <sheetView topLeftCell="A15" workbookViewId="0">
      <selection activeCell="D15" sqref="D15"/>
    </sheetView>
  </sheetViews>
  <sheetFormatPr defaultColWidth="0" defaultRowHeight="15" customHeight="1" x14ac:dyDescent="0.25"/>
  <cols>
    <col min="1" max="1" width="24.42578125" style="18" customWidth="1"/>
    <col min="2" max="2" width="9.28515625" style="10" bestFit="1" customWidth="1"/>
    <col min="3" max="3" width="65.42578125" style="66" customWidth="1"/>
    <col min="4" max="4" width="50.42578125" style="67" customWidth="1"/>
    <col min="5" max="5" width="16.42578125" style="19" bestFit="1" customWidth="1"/>
    <col min="6" max="7" width="9.140625" style="10" customWidth="1"/>
    <col min="8" max="8" width="15.7109375" style="10" customWidth="1"/>
    <col min="9" max="16384" width="0" style="10" hidden="1"/>
  </cols>
  <sheetData>
    <row r="1" spans="1:10" ht="15" customHeight="1" x14ac:dyDescent="0.25">
      <c r="A1" s="23"/>
      <c r="B1" s="24"/>
      <c r="C1" s="25" t="s">
        <v>2</v>
      </c>
      <c r="D1" s="26"/>
      <c r="E1" s="27">
        <v>170</v>
      </c>
      <c r="F1" s="26"/>
      <c r="G1" s="26" t="s">
        <v>18</v>
      </c>
      <c r="H1" s="26" t="s">
        <v>3</v>
      </c>
    </row>
    <row r="2" spans="1:10" ht="15" customHeight="1" x14ac:dyDescent="0.25">
      <c r="A2" s="28" t="s">
        <v>19</v>
      </c>
      <c r="B2" s="24"/>
      <c r="C2" s="23"/>
      <c r="D2" s="24"/>
      <c r="E2" s="29"/>
      <c r="F2" s="24"/>
      <c r="G2" s="24"/>
      <c r="H2" s="24"/>
    </row>
    <row r="3" spans="1:10" ht="15" customHeight="1" x14ac:dyDescent="0.25">
      <c r="A3" s="23"/>
      <c r="B3" s="24"/>
      <c r="C3" s="23" t="s">
        <v>20</v>
      </c>
      <c r="D3" s="70" t="s">
        <v>21</v>
      </c>
      <c r="E3" s="30">
        <v>615000</v>
      </c>
      <c r="F3" s="24">
        <v>3</v>
      </c>
      <c r="G3" s="24" t="s">
        <v>22</v>
      </c>
      <c r="H3" s="30">
        <f>E3*F3</f>
        <v>1845000</v>
      </c>
      <c r="J3" s="9" t="s">
        <v>21</v>
      </c>
    </row>
    <row r="4" spans="1:10" ht="15" customHeight="1" x14ac:dyDescent="0.25">
      <c r="A4" s="23"/>
      <c r="B4" s="24"/>
      <c r="C4" s="23" t="s">
        <v>6</v>
      </c>
      <c r="D4" s="24"/>
      <c r="E4" s="30">
        <v>1300000</v>
      </c>
      <c r="F4" s="24">
        <v>3</v>
      </c>
      <c r="G4" s="24" t="s">
        <v>22</v>
      </c>
      <c r="H4" s="30">
        <f>E4*F4</f>
        <v>3900000</v>
      </c>
    </row>
    <row r="5" spans="1:10" ht="15" customHeight="1" x14ac:dyDescent="0.25">
      <c r="A5" s="23"/>
      <c r="B5" s="24"/>
      <c r="C5" s="23" t="s">
        <v>23</v>
      </c>
      <c r="D5" s="24"/>
      <c r="E5" s="30">
        <f>350000/2</f>
        <v>175000</v>
      </c>
      <c r="F5" s="24">
        <v>3</v>
      </c>
      <c r="G5" s="24" t="s">
        <v>22</v>
      </c>
      <c r="H5" s="30">
        <f>E5*F5</f>
        <v>525000</v>
      </c>
    </row>
    <row r="6" spans="1:10" ht="15" customHeight="1" x14ac:dyDescent="0.25">
      <c r="A6" s="28" t="s">
        <v>24</v>
      </c>
      <c r="B6" s="24"/>
      <c r="C6" s="23"/>
      <c r="D6" s="24"/>
      <c r="E6" s="30"/>
      <c r="F6" s="24"/>
      <c r="G6" s="24"/>
      <c r="H6" s="30"/>
    </row>
    <row r="7" spans="1:10" ht="15" customHeight="1" x14ac:dyDescent="0.25">
      <c r="A7" s="23"/>
      <c r="B7" s="24"/>
      <c r="C7" s="23" t="s">
        <v>25</v>
      </c>
      <c r="D7" s="24"/>
      <c r="E7" s="30">
        <v>3000</v>
      </c>
      <c r="F7" s="24"/>
      <c r="G7" s="24"/>
      <c r="H7" s="30"/>
    </row>
    <row r="8" spans="1:10" ht="15" customHeight="1" x14ac:dyDescent="0.25">
      <c r="A8" s="23"/>
      <c r="B8" s="24"/>
      <c r="C8" s="23" t="s">
        <v>26</v>
      </c>
      <c r="D8" s="24"/>
      <c r="E8" s="30">
        <v>900</v>
      </c>
      <c r="F8" s="24"/>
      <c r="G8" s="24"/>
      <c r="H8" s="24"/>
    </row>
    <row r="9" spans="1:10" ht="15" customHeight="1" x14ac:dyDescent="0.25">
      <c r="A9" s="23"/>
      <c r="B9" s="24"/>
      <c r="C9" s="23" t="s">
        <v>27</v>
      </c>
      <c r="D9" s="24"/>
      <c r="E9" s="30">
        <v>1500</v>
      </c>
      <c r="F9" s="24"/>
      <c r="G9" s="24"/>
      <c r="H9" s="24"/>
    </row>
    <row r="10" spans="1:10" ht="15" customHeight="1" x14ac:dyDescent="0.25">
      <c r="A10" s="23"/>
      <c r="B10" s="24"/>
      <c r="C10" s="23"/>
      <c r="D10" s="24"/>
      <c r="E10" s="30"/>
      <c r="F10" s="24"/>
      <c r="G10" s="24"/>
      <c r="H10" s="24"/>
    </row>
    <row r="11" spans="1:10" s="11" customFormat="1" ht="15" customHeight="1" x14ac:dyDescent="0.25">
      <c r="A11" s="31" t="s">
        <v>28</v>
      </c>
      <c r="B11" s="32"/>
      <c r="C11" s="33"/>
      <c r="D11" s="32"/>
      <c r="E11" s="34"/>
      <c r="F11" s="32"/>
      <c r="G11" s="32"/>
      <c r="H11" s="32"/>
    </row>
    <row r="12" spans="1:10" ht="15" customHeight="1" x14ac:dyDescent="0.25">
      <c r="A12" s="35">
        <v>0.20833333333333334</v>
      </c>
      <c r="B12" s="36">
        <v>0.3298611111111111</v>
      </c>
      <c r="C12" s="37" t="s">
        <v>29</v>
      </c>
      <c r="D12" s="38"/>
      <c r="E12" s="39"/>
      <c r="F12" s="38"/>
      <c r="G12" s="38"/>
      <c r="H12" s="38"/>
    </row>
    <row r="13" spans="1:10" ht="15" customHeight="1" x14ac:dyDescent="0.25">
      <c r="A13" s="37"/>
      <c r="B13" s="38"/>
      <c r="C13" s="40" t="s">
        <v>30</v>
      </c>
      <c r="D13" s="41"/>
      <c r="E13" s="39">
        <v>300000</v>
      </c>
      <c r="F13" s="38">
        <v>1</v>
      </c>
      <c r="G13" s="38" t="s">
        <v>22</v>
      </c>
      <c r="H13" s="39">
        <f>E13*F13</f>
        <v>300000</v>
      </c>
    </row>
    <row r="14" spans="1:10" ht="15" customHeight="1" x14ac:dyDescent="0.25">
      <c r="A14" s="37"/>
      <c r="B14" s="38"/>
      <c r="C14" s="40" t="s">
        <v>31</v>
      </c>
      <c r="D14" s="41"/>
      <c r="E14" s="39">
        <v>3100000</v>
      </c>
      <c r="F14" s="38">
        <v>3</v>
      </c>
      <c r="G14" s="38" t="s">
        <v>22</v>
      </c>
      <c r="H14" s="39">
        <f>IF(G14="VND",E14*F14,$E$1*E14*F14)</f>
        <v>9300000</v>
      </c>
    </row>
    <row r="15" spans="1:10" ht="15" customHeight="1" x14ac:dyDescent="0.25">
      <c r="A15" s="37"/>
      <c r="B15" s="38"/>
      <c r="C15" s="40" t="s">
        <v>32</v>
      </c>
      <c r="D15" s="41"/>
      <c r="E15" s="39"/>
      <c r="F15" s="38"/>
      <c r="G15" s="38"/>
      <c r="H15" s="38"/>
    </row>
    <row r="16" spans="1:10" ht="15" customHeight="1" x14ac:dyDescent="0.25">
      <c r="A16" s="37"/>
      <c r="B16" s="36">
        <v>0.64583333333333337</v>
      </c>
      <c r="C16" s="37" t="s">
        <v>33</v>
      </c>
      <c r="D16" s="38"/>
      <c r="E16" s="39"/>
      <c r="F16" s="38"/>
      <c r="G16" s="38"/>
      <c r="H16" s="38"/>
    </row>
    <row r="17" spans="1:10" ht="15" customHeight="1" x14ac:dyDescent="0.25">
      <c r="A17" s="35">
        <v>0.66666666666666663</v>
      </c>
      <c r="B17" s="36">
        <v>0.75</v>
      </c>
      <c r="C17" s="37" t="s">
        <v>34</v>
      </c>
      <c r="D17" s="42" t="s">
        <v>35</v>
      </c>
      <c r="E17" s="39">
        <v>1600000</v>
      </c>
      <c r="F17" s="38">
        <v>4</v>
      </c>
      <c r="G17" s="38" t="s">
        <v>22</v>
      </c>
      <c r="H17" s="39">
        <f>IF(G17="VND",E17*F17,$E$1*E17*F17)</f>
        <v>6400000</v>
      </c>
    </row>
    <row r="18" spans="1:10" ht="15" customHeight="1" x14ac:dyDescent="0.25">
      <c r="A18" s="37"/>
      <c r="B18" s="38"/>
      <c r="C18" s="40" t="s">
        <v>36</v>
      </c>
      <c r="D18" s="38"/>
      <c r="E18" s="39"/>
      <c r="F18" s="38"/>
      <c r="G18" s="38"/>
      <c r="H18" s="38"/>
    </row>
    <row r="19" spans="1:10" ht="15" customHeight="1" x14ac:dyDescent="0.25">
      <c r="A19" s="37"/>
      <c r="B19" s="38"/>
      <c r="C19" s="37" t="s">
        <v>37</v>
      </c>
      <c r="D19" s="38"/>
      <c r="E19" s="39"/>
      <c r="F19" s="38"/>
      <c r="G19" s="38"/>
      <c r="H19" s="38"/>
    </row>
    <row r="20" spans="1:10" ht="15" customHeight="1" x14ac:dyDescent="0.25">
      <c r="A20" s="37"/>
      <c r="B20" s="38"/>
      <c r="C20" s="40" t="s">
        <v>38</v>
      </c>
      <c r="D20" s="38" t="s">
        <v>39</v>
      </c>
      <c r="E20" s="39">
        <v>170</v>
      </c>
      <c r="F20" s="38">
        <v>3</v>
      </c>
      <c r="G20" s="38" t="s">
        <v>18</v>
      </c>
      <c r="H20" s="39">
        <f>IF(G20="VND",E20*F20,$E$1*E20*F20)</f>
        <v>86700</v>
      </c>
    </row>
    <row r="21" spans="1:10" ht="15" customHeight="1" x14ac:dyDescent="0.25">
      <c r="A21" s="37"/>
      <c r="B21" s="38"/>
      <c r="C21" s="40" t="s">
        <v>40</v>
      </c>
      <c r="D21" s="38"/>
      <c r="E21" s="39"/>
      <c r="F21" s="38"/>
      <c r="G21" s="38"/>
      <c r="H21" s="38"/>
    </row>
    <row r="22" spans="1:10" ht="15" customHeight="1" x14ac:dyDescent="0.25">
      <c r="A22" s="35">
        <v>0.75</v>
      </c>
      <c r="B22" s="36">
        <v>0.79166666666666663</v>
      </c>
      <c r="C22" s="37" t="s">
        <v>41</v>
      </c>
      <c r="D22" s="38"/>
      <c r="E22" s="39">
        <f>$E$7</f>
        <v>3000</v>
      </c>
      <c r="F22" s="38">
        <v>1</v>
      </c>
      <c r="G22" s="38" t="s">
        <v>18</v>
      </c>
      <c r="H22" s="39">
        <f>IF(G22="VND",E22*F22,$E$1*E22*F22)</f>
        <v>510000</v>
      </c>
    </row>
    <row r="23" spans="1:10" ht="15" customHeight="1" x14ac:dyDescent="0.25">
      <c r="A23" s="37"/>
      <c r="B23" s="38"/>
      <c r="C23" s="40" t="s">
        <v>42</v>
      </c>
      <c r="D23" s="71" t="s">
        <v>43</v>
      </c>
      <c r="E23" s="39">
        <v>1930</v>
      </c>
      <c r="F23" s="38">
        <v>3</v>
      </c>
      <c r="G23" s="38" t="s">
        <v>18</v>
      </c>
      <c r="H23" s="39">
        <f>IF(G23="VND",E23*F23,$E$1*E23*F23)</f>
        <v>984300</v>
      </c>
    </row>
    <row r="24" spans="1:10" ht="15" customHeight="1" x14ac:dyDescent="0.25">
      <c r="A24" s="37"/>
      <c r="B24" s="38"/>
      <c r="C24" s="40" t="s">
        <v>44</v>
      </c>
      <c r="D24" s="71" t="s">
        <v>45</v>
      </c>
      <c r="E24" s="39">
        <v>500000</v>
      </c>
      <c r="F24" s="38">
        <v>3</v>
      </c>
      <c r="G24" s="38" t="s">
        <v>22</v>
      </c>
      <c r="H24" s="39">
        <f>IF(G24="VND",E24*F24,$E$1*E24*F24)</f>
        <v>1500000</v>
      </c>
    </row>
    <row r="25" spans="1:10" ht="15" customHeight="1" x14ac:dyDescent="0.25">
      <c r="A25" s="37"/>
      <c r="B25" s="38"/>
      <c r="C25" s="40" t="s">
        <v>46</v>
      </c>
      <c r="D25" s="43"/>
      <c r="E25" s="39">
        <f>$E$9</f>
        <v>1500</v>
      </c>
      <c r="F25" s="38">
        <v>1</v>
      </c>
      <c r="G25" s="38" t="s">
        <v>18</v>
      </c>
      <c r="H25" s="39">
        <f>IF(G25="VND",E25*F25,$E$1*E25*F25)</f>
        <v>255000</v>
      </c>
    </row>
    <row r="26" spans="1:10" ht="15" customHeight="1" x14ac:dyDescent="0.25">
      <c r="A26" s="37"/>
      <c r="B26" s="38"/>
      <c r="C26" s="44"/>
      <c r="D26" s="38"/>
      <c r="E26" s="39"/>
      <c r="F26" s="38"/>
      <c r="G26" s="38"/>
      <c r="H26" s="38"/>
    </row>
    <row r="27" spans="1:10" s="12" customFormat="1" ht="15" customHeight="1" x14ac:dyDescent="0.25">
      <c r="A27" s="31" t="s">
        <v>47</v>
      </c>
      <c r="B27" s="32"/>
      <c r="C27" s="33"/>
      <c r="D27" s="32"/>
      <c r="E27" s="34"/>
      <c r="F27" s="32"/>
      <c r="G27" s="32"/>
      <c r="H27" s="32"/>
      <c r="I27" s="11"/>
      <c r="J27" s="11"/>
    </row>
    <row r="28" spans="1:10" ht="15" customHeight="1" x14ac:dyDescent="0.25">
      <c r="A28" s="35">
        <v>0.25</v>
      </c>
      <c r="B28" s="36">
        <v>0.27083333333333331</v>
      </c>
      <c r="C28" s="37" t="s">
        <v>48</v>
      </c>
      <c r="D28" s="45"/>
      <c r="E28" s="39">
        <v>350</v>
      </c>
      <c r="F28" s="38">
        <v>3</v>
      </c>
      <c r="G28" s="38" t="s">
        <v>18</v>
      </c>
      <c r="H28" s="39">
        <f>IF(G28="VND",E28*F28,$E$1*E28*F28)</f>
        <v>178500</v>
      </c>
      <c r="I28" s="13"/>
      <c r="J28" s="13"/>
    </row>
    <row r="29" spans="1:10" ht="15" customHeight="1" x14ac:dyDescent="0.25">
      <c r="A29" s="35"/>
      <c r="B29" s="45"/>
      <c r="C29" s="40" t="s">
        <v>49</v>
      </c>
      <c r="D29" s="45"/>
      <c r="E29" s="46"/>
      <c r="F29" s="45"/>
      <c r="G29" s="45"/>
      <c r="H29" s="45"/>
      <c r="I29" s="13"/>
      <c r="J29" s="13"/>
    </row>
    <row r="30" spans="1:10" ht="15" customHeight="1" x14ac:dyDescent="0.25">
      <c r="A30" s="35"/>
      <c r="B30" s="45"/>
      <c r="C30" s="40" t="s">
        <v>50</v>
      </c>
      <c r="D30" s="45"/>
      <c r="E30" s="46"/>
      <c r="F30" s="45"/>
      <c r="G30" s="45"/>
      <c r="H30" s="45"/>
      <c r="I30" s="13"/>
      <c r="J30" s="13"/>
    </row>
    <row r="31" spans="1:10" ht="15" customHeight="1" x14ac:dyDescent="0.25">
      <c r="A31" s="35">
        <v>0.27083333333333331</v>
      </c>
      <c r="B31" s="36">
        <v>0.33333333333333331</v>
      </c>
      <c r="C31" s="37" t="s">
        <v>51</v>
      </c>
      <c r="D31" s="38" t="s">
        <v>52</v>
      </c>
      <c r="E31" s="46"/>
      <c r="F31" s="45"/>
      <c r="G31" s="45"/>
      <c r="H31" s="45"/>
      <c r="I31" s="13"/>
      <c r="J31" s="13"/>
    </row>
    <row r="32" spans="1:10" ht="15" customHeight="1" x14ac:dyDescent="0.25">
      <c r="A32" s="35"/>
      <c r="B32" s="38"/>
      <c r="C32" s="37" t="s">
        <v>53</v>
      </c>
      <c r="D32" s="71">
        <v>711</v>
      </c>
      <c r="E32" s="39">
        <f>$E$8</f>
        <v>900</v>
      </c>
      <c r="F32" s="38">
        <v>1</v>
      </c>
      <c r="G32" s="38" t="s">
        <v>18</v>
      </c>
      <c r="H32" s="39">
        <f>IF(G32="VND",E32*F32,$E$1*E32*F32)</f>
        <v>153000</v>
      </c>
      <c r="I32" s="13"/>
      <c r="J32" s="13"/>
    </row>
    <row r="33" spans="1:10" ht="15" customHeight="1" x14ac:dyDescent="0.25">
      <c r="A33" s="35">
        <v>0.33333333333333331</v>
      </c>
      <c r="B33" s="36">
        <v>0.3611111111111111</v>
      </c>
      <c r="C33" s="37" t="s">
        <v>54</v>
      </c>
      <c r="D33" s="43"/>
      <c r="E33" s="39">
        <f>$E$8</f>
        <v>900</v>
      </c>
      <c r="F33" s="38">
        <v>1</v>
      </c>
      <c r="G33" s="38" t="s">
        <v>18</v>
      </c>
      <c r="H33" s="39">
        <f>IF(G33="VND",E33*F33,$E$1*E33*F33)</f>
        <v>153000</v>
      </c>
      <c r="I33" s="13"/>
      <c r="J33" s="13"/>
    </row>
    <row r="34" spans="1:10" ht="15" customHeight="1" x14ac:dyDescent="0.25">
      <c r="A34" s="35"/>
      <c r="B34" s="38"/>
      <c r="C34" s="40" t="s">
        <v>55</v>
      </c>
      <c r="D34" s="43"/>
      <c r="E34" s="39">
        <v>220</v>
      </c>
      <c r="F34" s="38">
        <v>3</v>
      </c>
      <c r="G34" s="38" t="s">
        <v>18</v>
      </c>
      <c r="H34" s="39">
        <f>IF(G34="VND",E34*F34,$E$1*E34*F34)</f>
        <v>112200</v>
      </c>
      <c r="I34" s="13"/>
      <c r="J34" s="13"/>
    </row>
    <row r="35" spans="1:10" ht="15" customHeight="1" x14ac:dyDescent="0.25">
      <c r="A35" s="35">
        <v>0.41666666666666669</v>
      </c>
      <c r="B35" s="36">
        <v>0.4375</v>
      </c>
      <c r="C35" s="37" t="s">
        <v>56</v>
      </c>
      <c r="D35" s="43"/>
      <c r="E35" s="39">
        <v>210</v>
      </c>
      <c r="F35" s="38">
        <v>3</v>
      </c>
      <c r="G35" s="38" t="s">
        <v>18</v>
      </c>
      <c r="H35" s="39">
        <f>IF(G35="VND",E35*F35,$E$1*E35*F35)</f>
        <v>107100</v>
      </c>
      <c r="I35" s="13"/>
      <c r="J35" s="13"/>
    </row>
    <row r="36" spans="1:10" ht="15" customHeight="1" x14ac:dyDescent="0.25">
      <c r="A36" s="35">
        <v>0.4375</v>
      </c>
      <c r="B36" s="36">
        <v>0.58333333333333337</v>
      </c>
      <c r="C36" s="37" t="s">
        <v>57</v>
      </c>
      <c r="D36" s="71" t="s">
        <v>58</v>
      </c>
      <c r="E36" s="39">
        <v>980</v>
      </c>
      <c r="F36" s="38">
        <v>3</v>
      </c>
      <c r="G36" s="38" t="s">
        <v>18</v>
      </c>
      <c r="H36" s="39">
        <f>IF(G36="VND",E36*F36,$E$1*E36*F36)</f>
        <v>499800</v>
      </c>
      <c r="I36" s="13"/>
      <c r="J36" s="13"/>
    </row>
    <row r="37" spans="1:10" ht="15" customHeight="1" x14ac:dyDescent="0.25">
      <c r="A37" s="35"/>
      <c r="B37" s="36"/>
      <c r="C37" s="37" t="s">
        <v>59</v>
      </c>
      <c r="D37" s="43"/>
      <c r="E37" s="46"/>
      <c r="F37" s="45"/>
      <c r="G37" s="45"/>
      <c r="H37" s="45"/>
      <c r="I37" s="13"/>
      <c r="J37" s="13"/>
    </row>
    <row r="38" spans="1:10" ht="15" customHeight="1" x14ac:dyDescent="0.25">
      <c r="A38" s="35"/>
      <c r="B38" s="38"/>
      <c r="C38" s="37" t="s">
        <v>60</v>
      </c>
      <c r="D38" s="43"/>
      <c r="E38" s="46"/>
      <c r="F38" s="45"/>
      <c r="G38" s="45"/>
      <c r="H38" s="45"/>
      <c r="I38" s="13"/>
      <c r="J38" s="13"/>
    </row>
    <row r="39" spans="1:10" ht="15" customHeight="1" x14ac:dyDescent="0.25">
      <c r="A39" s="35"/>
      <c r="B39" s="38"/>
      <c r="C39" s="37" t="s">
        <v>61</v>
      </c>
      <c r="D39" s="43"/>
      <c r="E39" s="46"/>
      <c r="F39" s="45"/>
      <c r="G39" s="45"/>
      <c r="H39" s="45"/>
      <c r="I39" s="13"/>
      <c r="J39" s="13"/>
    </row>
    <row r="40" spans="1:10" ht="15" customHeight="1" x14ac:dyDescent="0.25">
      <c r="A40" s="35"/>
      <c r="B40" s="38"/>
      <c r="C40" s="37" t="s">
        <v>62</v>
      </c>
      <c r="D40" s="43"/>
      <c r="E40" s="46"/>
      <c r="F40" s="45"/>
      <c r="G40" s="45"/>
      <c r="H40" s="45"/>
      <c r="I40" s="13"/>
      <c r="J40" s="13"/>
    </row>
    <row r="41" spans="1:10" ht="15" customHeight="1" x14ac:dyDescent="0.25">
      <c r="A41" s="35"/>
      <c r="B41" s="38"/>
      <c r="C41" s="37" t="s">
        <v>63</v>
      </c>
      <c r="D41" s="43"/>
      <c r="E41" s="46"/>
      <c r="F41" s="45"/>
      <c r="G41" s="45"/>
      <c r="H41" s="45"/>
      <c r="I41" s="13"/>
      <c r="J41" s="13"/>
    </row>
    <row r="42" spans="1:10" ht="15" customHeight="1" x14ac:dyDescent="0.25">
      <c r="A42" s="35"/>
      <c r="B42" s="38"/>
      <c r="C42" s="37" t="s">
        <v>64</v>
      </c>
      <c r="D42" s="43"/>
      <c r="E42" s="46"/>
      <c r="F42" s="45"/>
      <c r="G42" s="45"/>
      <c r="H42" s="45"/>
      <c r="I42" s="13"/>
      <c r="J42" s="13"/>
    </row>
    <row r="43" spans="1:10" ht="15" customHeight="1" x14ac:dyDescent="0.25">
      <c r="A43" s="35"/>
      <c r="B43" s="38"/>
      <c r="C43" s="40" t="s">
        <v>65</v>
      </c>
      <c r="D43" s="43"/>
      <c r="E43" s="39">
        <f>$E$9</f>
        <v>1500</v>
      </c>
      <c r="F43" s="38">
        <v>1</v>
      </c>
      <c r="G43" s="38" t="s">
        <v>18</v>
      </c>
      <c r="H43" s="39">
        <f>IF(G43="VND",E43*F43,$E$1*E43*F43)</f>
        <v>255000</v>
      </c>
      <c r="I43" s="13"/>
      <c r="J43" s="13"/>
    </row>
    <row r="44" spans="1:10" ht="15" customHeight="1" x14ac:dyDescent="0.25">
      <c r="A44" s="35">
        <v>0.58333333333333337</v>
      </c>
      <c r="B44" s="36">
        <v>0.625</v>
      </c>
      <c r="C44" s="37" t="s">
        <v>66</v>
      </c>
      <c r="D44" s="43"/>
      <c r="E44" s="46"/>
      <c r="F44" s="45"/>
      <c r="G44" s="45"/>
      <c r="H44" s="45"/>
      <c r="I44" s="13"/>
      <c r="J44" s="13"/>
    </row>
    <row r="45" spans="1:10" ht="15" customHeight="1" x14ac:dyDescent="0.25">
      <c r="A45" s="35"/>
      <c r="B45" s="36"/>
      <c r="C45" s="40" t="s">
        <v>67</v>
      </c>
      <c r="D45" s="38" t="s">
        <v>68</v>
      </c>
      <c r="E45" s="39">
        <v>280</v>
      </c>
      <c r="F45" s="38">
        <v>3</v>
      </c>
      <c r="G45" s="38" t="s">
        <v>18</v>
      </c>
      <c r="H45" s="39">
        <f>IF(G45="VND",E45*F45,$E$1*E45*F45)</f>
        <v>142800</v>
      </c>
      <c r="I45" s="13"/>
      <c r="J45" s="13"/>
    </row>
    <row r="46" spans="1:10" ht="15" customHeight="1" x14ac:dyDescent="0.25">
      <c r="A46" s="35"/>
      <c r="B46" s="36"/>
      <c r="C46" s="40" t="s">
        <v>69</v>
      </c>
      <c r="D46" s="38"/>
      <c r="E46" s="39"/>
      <c r="F46" s="38"/>
      <c r="G46" s="38"/>
      <c r="H46" s="39"/>
      <c r="I46" s="13"/>
      <c r="J46" s="13"/>
    </row>
    <row r="47" spans="1:10" ht="15" customHeight="1" x14ac:dyDescent="0.25">
      <c r="A47" s="35"/>
      <c r="B47" s="36"/>
      <c r="C47" s="37" t="s">
        <v>70</v>
      </c>
      <c r="D47" s="38" t="s">
        <v>71</v>
      </c>
      <c r="E47" s="39">
        <v>1000</v>
      </c>
      <c r="F47" s="38">
        <v>3</v>
      </c>
      <c r="G47" s="38" t="s">
        <v>18</v>
      </c>
      <c r="H47" s="39">
        <f>IF(G47="VND",E47*F47,$E$1*E47*F47)</f>
        <v>510000</v>
      </c>
      <c r="I47" s="13"/>
      <c r="J47" s="13"/>
    </row>
    <row r="48" spans="1:10" ht="15" customHeight="1" x14ac:dyDescent="0.25">
      <c r="A48" s="35">
        <v>0.75</v>
      </c>
      <c r="B48" s="36">
        <v>0.79166666666666663</v>
      </c>
      <c r="C48" s="37" t="s">
        <v>72</v>
      </c>
      <c r="D48" s="38"/>
      <c r="E48" s="39">
        <v>270</v>
      </c>
      <c r="F48" s="38">
        <v>3</v>
      </c>
      <c r="G48" s="38" t="s">
        <v>18</v>
      </c>
      <c r="H48" s="39">
        <f>IF(G48="VND",E48*F48,$E$1*E48*F48)</f>
        <v>137700</v>
      </c>
      <c r="I48" s="13"/>
      <c r="J48" s="13"/>
    </row>
    <row r="49" spans="1:10" ht="15" customHeight="1" x14ac:dyDescent="0.25">
      <c r="A49" s="37"/>
      <c r="B49" s="36"/>
      <c r="C49" s="44" t="s">
        <v>73</v>
      </c>
      <c r="D49" s="38"/>
      <c r="E49" s="39">
        <f>$E$7</f>
        <v>3000</v>
      </c>
      <c r="F49" s="38">
        <v>1</v>
      </c>
      <c r="G49" s="38" t="s">
        <v>18</v>
      </c>
      <c r="H49" s="39">
        <f>IF(G49="VND",E49*F49,$E$1*E49*F49)</f>
        <v>510000</v>
      </c>
    </row>
    <row r="50" spans="1:10" ht="15" customHeight="1" x14ac:dyDescent="0.25">
      <c r="A50" s="37"/>
      <c r="B50" s="38"/>
      <c r="C50" s="37" t="s">
        <v>74</v>
      </c>
      <c r="D50" s="38"/>
      <c r="E50" s="39"/>
      <c r="F50" s="38"/>
      <c r="G50" s="38"/>
      <c r="H50" s="38"/>
    </row>
    <row r="51" spans="1:10" ht="15" customHeight="1" x14ac:dyDescent="0.25">
      <c r="A51" s="37"/>
      <c r="B51" s="38"/>
      <c r="C51" s="37" t="s">
        <v>75</v>
      </c>
      <c r="D51" s="38"/>
      <c r="E51" s="39"/>
      <c r="F51" s="38"/>
      <c r="G51" s="38"/>
      <c r="H51" s="38"/>
    </row>
    <row r="52" spans="1:10" ht="15" customHeight="1" x14ac:dyDescent="0.25">
      <c r="A52" s="35">
        <v>0.875</v>
      </c>
      <c r="B52" s="36">
        <v>0.89583333333333337</v>
      </c>
      <c r="C52" s="40" t="s">
        <v>76</v>
      </c>
      <c r="D52" s="38"/>
      <c r="E52" s="39">
        <v>220</v>
      </c>
      <c r="F52" s="38">
        <v>3</v>
      </c>
      <c r="G52" s="38" t="s">
        <v>18</v>
      </c>
      <c r="H52" s="39">
        <f>IF(G52="VND",E52*F52,$E$1*E52*F52)</f>
        <v>112200</v>
      </c>
    </row>
    <row r="53" spans="1:10" ht="15" customHeight="1" x14ac:dyDescent="0.25">
      <c r="A53" s="35">
        <v>0.91666666666666663</v>
      </c>
      <c r="B53" s="36"/>
      <c r="C53" s="40" t="s">
        <v>77</v>
      </c>
      <c r="D53" s="38"/>
      <c r="E53" s="39">
        <v>180</v>
      </c>
      <c r="F53" s="38">
        <v>3</v>
      </c>
      <c r="G53" s="38" t="s">
        <v>18</v>
      </c>
      <c r="H53" s="39">
        <f>IF(G53="VND",E53*F53,$E$1*E53*F53)</f>
        <v>91800</v>
      </c>
    </row>
    <row r="54" spans="1:10" ht="15" customHeight="1" x14ac:dyDescent="0.25">
      <c r="A54" s="35"/>
      <c r="B54" s="36"/>
      <c r="C54" s="40"/>
      <c r="D54" s="38"/>
      <c r="E54" s="39"/>
      <c r="F54" s="38"/>
      <c r="G54" s="38"/>
      <c r="H54" s="39"/>
    </row>
    <row r="55" spans="1:10" ht="15" customHeight="1" x14ac:dyDescent="0.25">
      <c r="A55" s="37"/>
      <c r="B55" s="38"/>
      <c r="C55" s="37" t="s">
        <v>78</v>
      </c>
      <c r="D55" s="38" t="s">
        <v>79</v>
      </c>
      <c r="E55" s="39"/>
      <c r="F55" s="38"/>
      <c r="G55" s="38"/>
      <c r="H55" s="38"/>
    </row>
    <row r="56" spans="1:10" ht="15" customHeight="1" x14ac:dyDescent="0.25">
      <c r="A56" s="37"/>
      <c r="B56" s="38"/>
      <c r="C56" s="37" t="s">
        <v>80</v>
      </c>
      <c r="D56" s="38" t="s">
        <v>79</v>
      </c>
      <c r="E56" s="39"/>
      <c r="F56" s="38"/>
      <c r="G56" s="38"/>
      <c r="H56" s="38"/>
    </row>
    <row r="57" spans="1:10" ht="15" customHeight="1" x14ac:dyDescent="0.25">
      <c r="A57" s="37"/>
      <c r="B57" s="38"/>
      <c r="C57" s="37" t="s">
        <v>81</v>
      </c>
      <c r="D57" s="38"/>
      <c r="E57" s="39"/>
      <c r="F57" s="38"/>
      <c r="G57" s="38"/>
      <c r="H57" s="38"/>
    </row>
    <row r="58" spans="1:10" ht="15" customHeight="1" x14ac:dyDescent="0.25">
      <c r="A58" s="37"/>
      <c r="B58" s="38"/>
      <c r="C58" s="37"/>
      <c r="D58" s="38"/>
      <c r="E58" s="39"/>
      <c r="F58" s="38"/>
      <c r="G58" s="38"/>
      <c r="H58" s="38"/>
    </row>
    <row r="59" spans="1:10" s="15" customFormat="1" ht="15" customHeight="1" x14ac:dyDescent="0.25">
      <c r="A59" s="47" t="s">
        <v>82</v>
      </c>
      <c r="B59" s="48"/>
      <c r="C59" s="49"/>
      <c r="D59" s="50" t="s">
        <v>83</v>
      </c>
      <c r="E59" s="51"/>
      <c r="F59" s="48"/>
      <c r="G59" s="48"/>
      <c r="H59" s="48"/>
      <c r="I59" s="14"/>
      <c r="J59" s="14"/>
    </row>
    <row r="60" spans="1:10" ht="15" customHeight="1" x14ac:dyDescent="0.25">
      <c r="A60" s="37"/>
      <c r="B60" s="38"/>
      <c r="C60" s="37" t="s">
        <v>84</v>
      </c>
      <c r="D60" s="52"/>
      <c r="E60" s="39">
        <f>$E$8</f>
        <v>900</v>
      </c>
      <c r="F60" s="38">
        <v>1</v>
      </c>
      <c r="G60" s="38" t="s">
        <v>18</v>
      </c>
      <c r="H60" s="39">
        <f>IF(G60="VND",E60*F60,$E$1*E60*F60)</f>
        <v>153000</v>
      </c>
    </row>
    <row r="61" spans="1:10" ht="15" customHeight="1" x14ac:dyDescent="0.25">
      <c r="A61" s="37"/>
      <c r="B61" s="38"/>
      <c r="C61" s="37" t="s">
        <v>85</v>
      </c>
      <c r="D61" s="38"/>
      <c r="E61" s="39">
        <v>180</v>
      </c>
      <c r="F61" s="38">
        <v>3</v>
      </c>
      <c r="G61" s="38" t="s">
        <v>18</v>
      </c>
      <c r="H61" s="39">
        <f>IF(G61="VND",E61*F61,$E$1*E61*F61)</f>
        <v>91800</v>
      </c>
    </row>
    <row r="62" spans="1:10" ht="15" customHeight="1" x14ac:dyDescent="0.25">
      <c r="A62" s="35">
        <v>0.33333333333333331</v>
      </c>
      <c r="B62" s="38"/>
      <c r="C62" s="37" t="s">
        <v>86</v>
      </c>
      <c r="D62" s="38" t="s">
        <v>87</v>
      </c>
      <c r="E62" s="39">
        <v>1000000</v>
      </c>
      <c r="F62" s="38">
        <v>3</v>
      </c>
      <c r="G62" s="38" t="s">
        <v>22</v>
      </c>
      <c r="H62" s="39">
        <f>IF(G62="VND",E62*F62,$E$1*E62*F62)</f>
        <v>3000000</v>
      </c>
    </row>
    <row r="63" spans="1:10" ht="15" customHeight="1" x14ac:dyDescent="0.25">
      <c r="A63" s="35">
        <v>0.4375</v>
      </c>
      <c r="B63" s="38"/>
      <c r="C63" s="37" t="s">
        <v>88</v>
      </c>
      <c r="D63" s="38"/>
      <c r="E63" s="39"/>
      <c r="F63" s="38"/>
      <c r="G63" s="38"/>
      <c r="H63" s="38"/>
    </row>
    <row r="64" spans="1:10" ht="15" customHeight="1" x14ac:dyDescent="0.25">
      <c r="A64" s="35">
        <v>0.48958333333333331</v>
      </c>
      <c r="B64" s="38"/>
      <c r="C64" s="37" t="s">
        <v>89</v>
      </c>
      <c r="D64" s="38"/>
      <c r="E64" s="39"/>
      <c r="F64" s="38"/>
      <c r="G64" s="38"/>
      <c r="H64" s="38"/>
    </row>
    <row r="65" spans="1:10" ht="15" customHeight="1" x14ac:dyDescent="0.25">
      <c r="A65" s="35">
        <v>0.52083333333333337</v>
      </c>
      <c r="B65" s="38"/>
      <c r="C65" s="37" t="s">
        <v>90</v>
      </c>
      <c r="D65" s="38"/>
      <c r="E65" s="39"/>
      <c r="F65" s="38"/>
      <c r="G65" s="38"/>
      <c r="H65" s="38"/>
    </row>
    <row r="66" spans="1:10" ht="15" customHeight="1" x14ac:dyDescent="0.25">
      <c r="A66" s="35">
        <v>0.60416666666666663</v>
      </c>
      <c r="B66" s="38"/>
      <c r="C66" s="37" t="s">
        <v>91</v>
      </c>
      <c r="D66" s="38"/>
      <c r="E66" s="39"/>
      <c r="F66" s="38"/>
      <c r="G66" s="38"/>
      <c r="H66" s="38"/>
    </row>
    <row r="67" spans="1:10" ht="15" customHeight="1" x14ac:dyDescent="0.25">
      <c r="A67" s="35">
        <v>0.63194444444444442</v>
      </c>
      <c r="B67" s="38"/>
      <c r="C67" s="37" t="s">
        <v>92</v>
      </c>
      <c r="D67" s="38"/>
      <c r="E67" s="39"/>
      <c r="F67" s="38"/>
      <c r="G67" s="38"/>
      <c r="H67" s="38"/>
    </row>
    <row r="68" spans="1:10" ht="15" customHeight="1" x14ac:dyDescent="0.25">
      <c r="A68" s="35">
        <v>0.63888888888888884</v>
      </c>
      <c r="B68" s="38"/>
      <c r="C68" s="37" t="s">
        <v>93</v>
      </c>
      <c r="D68" s="38"/>
      <c r="E68" s="39"/>
      <c r="F68" s="38"/>
      <c r="G68" s="38"/>
      <c r="H68" s="38"/>
    </row>
    <row r="69" spans="1:10" ht="15" customHeight="1" x14ac:dyDescent="0.25">
      <c r="A69" s="35">
        <v>0.78472222222222221</v>
      </c>
      <c r="B69" s="38"/>
      <c r="C69" s="37" t="s">
        <v>94</v>
      </c>
      <c r="D69" s="38"/>
      <c r="E69" s="39"/>
      <c r="F69" s="38"/>
      <c r="G69" s="38"/>
      <c r="H69" s="38"/>
    </row>
    <row r="70" spans="1:10" ht="15" customHeight="1" x14ac:dyDescent="0.25">
      <c r="A70" s="37"/>
      <c r="B70" s="38"/>
      <c r="C70" s="37"/>
      <c r="D70" s="38"/>
      <c r="E70" s="39"/>
      <c r="F70" s="38"/>
      <c r="G70" s="38"/>
      <c r="H70" s="38"/>
    </row>
    <row r="71" spans="1:10" ht="15" customHeight="1" x14ac:dyDescent="0.25">
      <c r="A71" s="37"/>
      <c r="B71" s="38"/>
      <c r="C71" s="37" t="s">
        <v>95</v>
      </c>
      <c r="D71" s="38"/>
      <c r="E71" s="39">
        <v>180</v>
      </c>
      <c r="F71" s="38">
        <v>3</v>
      </c>
      <c r="G71" s="38" t="s">
        <v>18</v>
      </c>
      <c r="H71" s="39">
        <f>IF(G71="VND",E71*F71,$E$1*E71*F71)</f>
        <v>91800</v>
      </c>
    </row>
    <row r="72" spans="1:10" ht="15" customHeight="1" x14ac:dyDescent="0.25">
      <c r="A72" s="37"/>
      <c r="B72" s="38"/>
      <c r="C72" s="37" t="s">
        <v>73</v>
      </c>
      <c r="D72" s="38"/>
      <c r="E72" s="39">
        <f>$E$7</f>
        <v>3000</v>
      </c>
      <c r="F72" s="38">
        <v>1</v>
      </c>
      <c r="G72" s="38" t="s">
        <v>18</v>
      </c>
      <c r="H72" s="39">
        <f>IF(G72="VND",E72*F72,$E$1*E72*F72)</f>
        <v>510000</v>
      </c>
    </row>
    <row r="73" spans="1:10" ht="15" customHeight="1" x14ac:dyDescent="0.25">
      <c r="A73" s="37"/>
      <c r="B73" s="38"/>
      <c r="C73" s="37" t="s">
        <v>96</v>
      </c>
      <c r="D73" s="38"/>
      <c r="E73" s="39"/>
      <c r="F73" s="38"/>
      <c r="G73" s="38"/>
      <c r="H73" s="39"/>
    </row>
    <row r="74" spans="1:10" s="12" customFormat="1" ht="15" customHeight="1" x14ac:dyDescent="0.25">
      <c r="A74" s="31" t="s">
        <v>97</v>
      </c>
      <c r="B74" s="32"/>
      <c r="C74" s="33"/>
      <c r="D74" s="32"/>
      <c r="E74" s="34"/>
      <c r="F74" s="32"/>
      <c r="G74" s="32"/>
      <c r="H74" s="32"/>
      <c r="I74" s="11"/>
      <c r="J74" s="11"/>
    </row>
    <row r="75" spans="1:10" ht="15" customHeight="1" x14ac:dyDescent="0.25">
      <c r="A75" s="35"/>
      <c r="B75" s="38"/>
      <c r="C75" s="37" t="s">
        <v>98</v>
      </c>
      <c r="D75" s="43"/>
      <c r="E75" s="39">
        <f>$E$8</f>
        <v>900</v>
      </c>
      <c r="F75" s="38">
        <v>1</v>
      </c>
      <c r="G75" s="38" t="s">
        <v>18</v>
      </c>
      <c r="H75" s="39">
        <f>IF(G75="VND",E75*F75,$E$1*E75*F75)</f>
        <v>153000</v>
      </c>
      <c r="I75" s="13"/>
      <c r="J75" s="13"/>
    </row>
    <row r="76" spans="1:10" ht="15" customHeight="1" x14ac:dyDescent="0.25">
      <c r="A76" s="35">
        <v>0.33333333333333331</v>
      </c>
      <c r="B76" s="38"/>
      <c r="C76" s="37" t="s">
        <v>99</v>
      </c>
      <c r="D76" s="38"/>
      <c r="E76" s="39">
        <v>180</v>
      </c>
      <c r="F76" s="38">
        <v>3</v>
      </c>
      <c r="G76" s="38" t="s">
        <v>18</v>
      </c>
      <c r="H76" s="39">
        <f>IF(G76="VND",E76*F76,$E$1*E76*F76)</f>
        <v>91800</v>
      </c>
    </row>
    <row r="77" spans="1:10" ht="15" customHeight="1" x14ac:dyDescent="0.25">
      <c r="A77" s="37"/>
      <c r="B77" s="38"/>
      <c r="C77" s="37" t="s">
        <v>100</v>
      </c>
      <c r="D77" s="38" t="s">
        <v>101</v>
      </c>
      <c r="E77" s="39">
        <v>700</v>
      </c>
      <c r="F77" s="38">
        <v>2</v>
      </c>
      <c r="G77" s="38" t="s">
        <v>18</v>
      </c>
      <c r="H77" s="39">
        <f>IF(G77="VND",E77*F77,$E$1*E77*F77)</f>
        <v>238000</v>
      </c>
    </row>
    <row r="78" spans="1:10" ht="15" customHeight="1" x14ac:dyDescent="0.25">
      <c r="A78" s="37"/>
      <c r="B78" s="38"/>
      <c r="C78" s="37" t="s">
        <v>102</v>
      </c>
      <c r="D78" s="38"/>
      <c r="E78" s="39"/>
      <c r="F78" s="38"/>
      <c r="G78" s="38"/>
      <c r="H78" s="39"/>
    </row>
    <row r="79" spans="1:10" ht="15" customHeight="1" x14ac:dyDescent="0.25">
      <c r="A79" s="35">
        <v>0.41666666666666669</v>
      </c>
      <c r="B79" s="36">
        <v>0.45833333333333331</v>
      </c>
      <c r="C79" s="37" t="s">
        <v>103</v>
      </c>
      <c r="D79" s="38" t="s">
        <v>104</v>
      </c>
      <c r="E79" s="39">
        <v>2500</v>
      </c>
      <c r="F79" s="38">
        <v>3</v>
      </c>
      <c r="G79" s="38" t="s">
        <v>18</v>
      </c>
      <c r="H79" s="39">
        <f t="shared" ref="H79:H86" si="0">IF(G79="VND",E79*F79,$E$1*E79*F79)</f>
        <v>1275000</v>
      </c>
    </row>
    <row r="80" spans="1:10" ht="15" customHeight="1" x14ac:dyDescent="0.25">
      <c r="A80" s="35">
        <v>0.45833333333333331</v>
      </c>
      <c r="B80" s="36">
        <v>0.5</v>
      </c>
      <c r="C80" s="37" t="s">
        <v>105</v>
      </c>
      <c r="D80" s="38"/>
      <c r="E80" s="39">
        <f>$E$7</f>
        <v>3000</v>
      </c>
      <c r="F80" s="38">
        <v>1</v>
      </c>
      <c r="G80" s="38" t="s">
        <v>18</v>
      </c>
      <c r="H80" s="39">
        <f t="shared" si="0"/>
        <v>510000</v>
      </c>
    </row>
    <row r="81" spans="1:8" ht="15" customHeight="1" x14ac:dyDescent="0.25">
      <c r="A81" s="35">
        <v>0.54166666666666663</v>
      </c>
      <c r="B81" s="36">
        <v>0.5625</v>
      </c>
      <c r="C81" s="37" t="s">
        <v>106</v>
      </c>
      <c r="D81" s="38"/>
      <c r="E81" s="39">
        <v>210</v>
      </c>
      <c r="F81" s="38">
        <v>3</v>
      </c>
      <c r="G81" s="38" t="s">
        <v>18</v>
      </c>
      <c r="H81" s="39">
        <f t="shared" si="0"/>
        <v>107100</v>
      </c>
    </row>
    <row r="82" spans="1:8" ht="15" customHeight="1" x14ac:dyDescent="0.25">
      <c r="A82" s="35"/>
      <c r="B82" s="36"/>
      <c r="C82" s="37" t="s">
        <v>107</v>
      </c>
      <c r="D82" s="38" t="s">
        <v>108</v>
      </c>
      <c r="E82" s="39">
        <v>3300</v>
      </c>
      <c r="F82" s="38">
        <v>3</v>
      </c>
      <c r="G82" s="38" t="s">
        <v>18</v>
      </c>
      <c r="H82" s="39">
        <f t="shared" si="0"/>
        <v>1683000</v>
      </c>
    </row>
    <row r="83" spans="1:8" ht="15" customHeight="1" x14ac:dyDescent="0.25">
      <c r="A83" s="35">
        <v>0.625</v>
      </c>
      <c r="B83" s="36">
        <v>0.64583333333333337</v>
      </c>
      <c r="C83" s="37" t="s">
        <v>109</v>
      </c>
      <c r="D83" s="38"/>
      <c r="E83" s="39">
        <v>210</v>
      </c>
      <c r="F83" s="38">
        <v>3</v>
      </c>
      <c r="G83" s="38" t="s">
        <v>18</v>
      </c>
      <c r="H83" s="39">
        <f t="shared" si="0"/>
        <v>107100</v>
      </c>
    </row>
    <row r="84" spans="1:8" ht="15" customHeight="1" x14ac:dyDescent="0.25">
      <c r="A84" s="35"/>
      <c r="B84" s="36"/>
      <c r="C84" s="37" t="s">
        <v>73</v>
      </c>
      <c r="D84" s="38"/>
      <c r="E84" s="39">
        <f>$E$7</f>
        <v>3000</v>
      </c>
      <c r="F84" s="38">
        <v>1</v>
      </c>
      <c r="G84" s="38" t="s">
        <v>18</v>
      </c>
      <c r="H84" s="39">
        <f t="shared" si="0"/>
        <v>510000</v>
      </c>
    </row>
    <row r="85" spans="1:8" ht="15" customHeight="1" x14ac:dyDescent="0.25">
      <c r="A85" s="35">
        <v>0.70833333333333337</v>
      </c>
      <c r="B85" s="36">
        <v>0.8125</v>
      </c>
      <c r="C85" s="37" t="s">
        <v>110</v>
      </c>
      <c r="D85" s="38"/>
      <c r="E85" s="39">
        <v>14170</v>
      </c>
      <c r="F85" s="38">
        <v>3</v>
      </c>
      <c r="G85" s="38" t="s">
        <v>111</v>
      </c>
      <c r="H85" s="39">
        <f t="shared" si="0"/>
        <v>7226700</v>
      </c>
    </row>
    <row r="86" spans="1:8" ht="15" customHeight="1" x14ac:dyDescent="0.25">
      <c r="A86" s="35">
        <v>0.8125</v>
      </c>
      <c r="B86" s="36">
        <v>0.83333333333333337</v>
      </c>
      <c r="C86" s="37" t="s">
        <v>112</v>
      </c>
      <c r="D86" s="38"/>
      <c r="E86" s="39">
        <v>1250000</v>
      </c>
      <c r="F86" s="53">
        <v>2</v>
      </c>
      <c r="G86" s="38" t="s">
        <v>22</v>
      </c>
      <c r="H86" s="39">
        <f t="shared" si="0"/>
        <v>2500000</v>
      </c>
    </row>
    <row r="87" spans="1:8" ht="15" customHeight="1" x14ac:dyDescent="0.25">
      <c r="A87" s="37"/>
      <c r="B87" s="38"/>
      <c r="C87" s="37" t="s">
        <v>113</v>
      </c>
      <c r="D87" s="38" t="s">
        <v>114</v>
      </c>
      <c r="E87" s="39"/>
      <c r="F87" s="38"/>
      <c r="G87" s="38"/>
      <c r="H87" s="39"/>
    </row>
    <row r="88" spans="1:8" ht="15" customHeight="1" x14ac:dyDescent="0.25">
      <c r="A88" s="37"/>
      <c r="B88" s="38"/>
      <c r="C88" s="54" t="s">
        <v>115</v>
      </c>
      <c r="D88" s="55" t="s">
        <v>116</v>
      </c>
      <c r="E88" s="39">
        <v>1500</v>
      </c>
      <c r="F88" s="38">
        <v>1</v>
      </c>
      <c r="G88" s="38" t="s">
        <v>18</v>
      </c>
      <c r="H88" s="39">
        <f>IF(G88="VND",E88*F88,$E$1*E88*F88)</f>
        <v>255000</v>
      </c>
    </row>
    <row r="89" spans="1:8" s="12" customFormat="1" ht="15" customHeight="1" x14ac:dyDescent="0.25">
      <c r="A89" s="31" t="s">
        <v>117</v>
      </c>
      <c r="B89" s="32"/>
      <c r="C89" s="33"/>
      <c r="D89" s="32"/>
      <c r="E89" s="34"/>
      <c r="F89" s="32"/>
      <c r="G89" s="32"/>
      <c r="H89" s="32"/>
    </row>
    <row r="90" spans="1:8" ht="15" customHeight="1" x14ac:dyDescent="0.25">
      <c r="A90" s="35">
        <v>0.29166666666666669</v>
      </c>
      <c r="B90" s="36">
        <v>0.33333333333333331</v>
      </c>
      <c r="C90" s="37" t="s">
        <v>118</v>
      </c>
      <c r="D90" s="38" t="s">
        <v>119</v>
      </c>
      <c r="E90" s="39">
        <f>$E$8</f>
        <v>900</v>
      </c>
      <c r="F90" s="38">
        <v>1</v>
      </c>
      <c r="G90" s="38" t="s">
        <v>18</v>
      </c>
      <c r="H90" s="39">
        <f>IF(G90="VND",E90*F90,$E$1*E90*F90)</f>
        <v>153000</v>
      </c>
    </row>
    <row r="91" spans="1:8" ht="15" customHeight="1" x14ac:dyDescent="0.25">
      <c r="A91" s="44"/>
      <c r="B91" s="45"/>
      <c r="C91" s="37" t="s">
        <v>120</v>
      </c>
      <c r="D91" s="43" t="s">
        <v>121</v>
      </c>
      <c r="E91" s="39">
        <v>0</v>
      </c>
      <c r="F91" s="38">
        <v>3</v>
      </c>
      <c r="G91" s="38" t="s">
        <v>111</v>
      </c>
      <c r="H91" s="39">
        <f>IF(G91="VND",E91*F91,$E$1*E91*F91)</f>
        <v>0</v>
      </c>
    </row>
    <row r="92" spans="1:8" ht="15" customHeight="1" x14ac:dyDescent="0.25">
      <c r="A92" s="44"/>
      <c r="B92" s="45"/>
      <c r="C92" s="37" t="s">
        <v>122</v>
      </c>
      <c r="D92" s="43" t="s">
        <v>123</v>
      </c>
      <c r="E92" s="39">
        <v>850000</v>
      </c>
      <c r="F92" s="38">
        <v>3</v>
      </c>
      <c r="G92" s="38" t="s">
        <v>22</v>
      </c>
      <c r="H92" s="39">
        <f>IF(G92="VND",E92*F92,$E$1*E92*F92)</f>
        <v>2550000</v>
      </c>
    </row>
    <row r="93" spans="1:8" ht="15" customHeight="1" x14ac:dyDescent="0.25">
      <c r="A93" s="35">
        <v>0.33333333333333331</v>
      </c>
      <c r="B93" s="36">
        <v>0.34375</v>
      </c>
      <c r="C93" s="37" t="s">
        <v>124</v>
      </c>
      <c r="D93" s="38"/>
      <c r="E93" s="39"/>
      <c r="F93" s="38"/>
      <c r="G93" s="38"/>
      <c r="H93" s="38"/>
    </row>
    <row r="94" spans="1:8" ht="15" customHeight="1" x14ac:dyDescent="0.25">
      <c r="A94" s="37"/>
      <c r="B94" s="38"/>
      <c r="C94" s="40" t="s">
        <v>125</v>
      </c>
      <c r="D94" s="38" t="s">
        <v>126</v>
      </c>
      <c r="E94" s="39"/>
      <c r="F94" s="38"/>
      <c r="G94" s="38"/>
      <c r="H94" s="38"/>
    </row>
    <row r="95" spans="1:8" ht="15" customHeight="1" x14ac:dyDescent="0.25">
      <c r="A95" s="37"/>
      <c r="B95" s="38"/>
      <c r="C95" s="40" t="s">
        <v>127</v>
      </c>
      <c r="D95" s="38"/>
      <c r="E95" s="39"/>
      <c r="F95" s="38"/>
      <c r="G95" s="38"/>
      <c r="H95" s="38"/>
    </row>
    <row r="96" spans="1:8" ht="15" customHeight="1" x14ac:dyDescent="0.25">
      <c r="A96" s="35">
        <v>0.375</v>
      </c>
      <c r="B96" s="36">
        <v>0.39583333333333331</v>
      </c>
      <c r="C96" s="37" t="s">
        <v>128</v>
      </c>
      <c r="D96" s="38"/>
      <c r="E96" s="39"/>
      <c r="F96" s="38"/>
      <c r="G96" s="38"/>
      <c r="H96" s="38"/>
    </row>
    <row r="97" spans="1:8" ht="15" customHeight="1" x14ac:dyDescent="0.25">
      <c r="A97" s="37"/>
      <c r="B97" s="38"/>
      <c r="C97" s="40" t="s">
        <v>129</v>
      </c>
      <c r="D97" s="38" t="s">
        <v>130</v>
      </c>
      <c r="E97" s="39">
        <v>150</v>
      </c>
      <c r="F97" s="38">
        <v>3</v>
      </c>
      <c r="G97" s="38" t="s">
        <v>111</v>
      </c>
      <c r="H97" s="39">
        <f>IF(G97="VND",E97*F97,$E$1*E97*F97)</f>
        <v>76500</v>
      </c>
    </row>
    <row r="98" spans="1:8" ht="15" customHeight="1" x14ac:dyDescent="0.25">
      <c r="A98" s="37"/>
      <c r="B98" s="38"/>
      <c r="C98" s="40" t="s">
        <v>131</v>
      </c>
      <c r="D98" s="38"/>
      <c r="E98" s="39"/>
      <c r="F98" s="38"/>
      <c r="G98" s="38"/>
      <c r="H98" s="39"/>
    </row>
    <row r="99" spans="1:8" ht="29.25" customHeight="1" x14ac:dyDescent="0.25">
      <c r="A99" s="35">
        <v>0.45833333333333331</v>
      </c>
      <c r="B99" s="36">
        <v>0.47916666666666669</v>
      </c>
      <c r="C99" s="37" t="s">
        <v>132</v>
      </c>
      <c r="D99" s="38" t="s">
        <v>133</v>
      </c>
      <c r="E99" s="39">
        <v>230</v>
      </c>
      <c r="F99" s="38">
        <v>3</v>
      </c>
      <c r="G99" s="38" t="s">
        <v>111</v>
      </c>
      <c r="H99" s="39">
        <f>IF(G99="VND",E99*F99,$E$1*E99*F99)</f>
        <v>117300</v>
      </c>
    </row>
    <row r="100" spans="1:8" ht="15" customHeight="1" x14ac:dyDescent="0.25">
      <c r="A100" s="37"/>
      <c r="B100" s="38"/>
      <c r="C100" s="40" t="s">
        <v>134</v>
      </c>
      <c r="D100" s="38"/>
      <c r="E100" s="39"/>
      <c r="F100" s="38"/>
      <c r="G100" s="38"/>
      <c r="H100" s="38"/>
    </row>
    <row r="101" spans="1:8" ht="15" customHeight="1" x14ac:dyDescent="0.25">
      <c r="A101" s="37"/>
      <c r="B101" s="38"/>
      <c r="C101" s="37"/>
      <c r="D101" s="38"/>
      <c r="E101" s="39"/>
      <c r="F101" s="38"/>
      <c r="G101" s="38"/>
      <c r="H101" s="38"/>
    </row>
    <row r="102" spans="1:8" ht="15" customHeight="1" x14ac:dyDescent="0.25">
      <c r="A102" s="35">
        <v>0.47916666666666669</v>
      </c>
      <c r="B102" s="36">
        <v>0.54166666666666663</v>
      </c>
      <c r="C102" s="37" t="s">
        <v>135</v>
      </c>
      <c r="D102" s="38" t="s">
        <v>136</v>
      </c>
      <c r="E102" s="39">
        <f>$E$7</f>
        <v>3000</v>
      </c>
      <c r="F102" s="38">
        <v>1</v>
      </c>
      <c r="G102" s="38" t="s">
        <v>18</v>
      </c>
      <c r="H102" s="39">
        <f>IF(G102="VND",E102*F102,$E$1*E102*F102)</f>
        <v>510000</v>
      </c>
    </row>
    <row r="103" spans="1:8" ht="15" customHeight="1" x14ac:dyDescent="0.25">
      <c r="A103" s="37"/>
      <c r="B103" s="38"/>
      <c r="C103" s="37" t="s">
        <v>137</v>
      </c>
      <c r="D103" s="38"/>
      <c r="E103" s="39"/>
      <c r="F103" s="38"/>
      <c r="G103" s="38"/>
      <c r="H103" s="38"/>
    </row>
    <row r="104" spans="1:8" ht="15" customHeight="1" x14ac:dyDescent="0.25">
      <c r="A104" s="35">
        <v>0.54166666666666663</v>
      </c>
      <c r="B104" s="36">
        <v>0.58333333333333337</v>
      </c>
      <c r="C104" s="40" t="s">
        <v>138</v>
      </c>
      <c r="D104" s="38" t="s">
        <v>139</v>
      </c>
      <c r="E104" s="39">
        <v>230</v>
      </c>
      <c r="F104" s="38">
        <v>3</v>
      </c>
      <c r="G104" s="38" t="s">
        <v>111</v>
      </c>
      <c r="H104" s="39">
        <f>IF(G104="VND",E104*F104,$E$1*E104*F104)</f>
        <v>117300</v>
      </c>
    </row>
    <row r="105" spans="1:8" ht="15" customHeight="1" x14ac:dyDescent="0.25">
      <c r="A105" s="37"/>
      <c r="B105" s="38"/>
      <c r="C105" s="40" t="s">
        <v>140</v>
      </c>
      <c r="D105" s="38"/>
      <c r="E105" s="39"/>
      <c r="F105" s="38"/>
      <c r="G105" s="38"/>
      <c r="H105" s="38"/>
    </row>
    <row r="106" spans="1:8" ht="15" customHeight="1" x14ac:dyDescent="0.25">
      <c r="A106" s="35">
        <v>0.58333333333333337</v>
      </c>
      <c r="B106" s="36">
        <v>0.625</v>
      </c>
      <c r="C106" s="40" t="s">
        <v>141</v>
      </c>
      <c r="D106" s="38"/>
      <c r="E106" s="39"/>
      <c r="F106" s="38"/>
      <c r="G106" s="38"/>
      <c r="H106" s="38"/>
    </row>
    <row r="107" spans="1:8" ht="15" customHeight="1" x14ac:dyDescent="0.25">
      <c r="A107" s="35"/>
      <c r="B107" s="36"/>
      <c r="C107" s="37" t="s">
        <v>142</v>
      </c>
      <c r="D107" s="38"/>
      <c r="E107" s="39"/>
      <c r="F107" s="38"/>
      <c r="G107" s="38"/>
      <c r="H107" s="38"/>
    </row>
    <row r="108" spans="1:8" ht="15" customHeight="1" x14ac:dyDescent="0.25">
      <c r="A108" s="35"/>
      <c r="B108" s="36">
        <v>0.75</v>
      </c>
      <c r="C108" s="37" t="s">
        <v>143</v>
      </c>
      <c r="D108" s="38"/>
      <c r="E108" s="39"/>
      <c r="F108" s="38"/>
      <c r="G108" s="38"/>
      <c r="H108" s="38"/>
    </row>
    <row r="109" spans="1:8" ht="15" customHeight="1" x14ac:dyDescent="0.25">
      <c r="A109" s="35"/>
      <c r="B109" s="36"/>
      <c r="C109" s="40" t="s">
        <v>144</v>
      </c>
      <c r="D109" s="38" t="s">
        <v>145</v>
      </c>
      <c r="E109" s="39">
        <v>460</v>
      </c>
      <c r="F109" s="38">
        <v>3</v>
      </c>
      <c r="G109" s="38" t="s">
        <v>111</v>
      </c>
      <c r="H109" s="39">
        <f>IF(G109="VND",E109*F109,$E$1*E109*F109)</f>
        <v>234600</v>
      </c>
    </row>
    <row r="110" spans="1:8" ht="15" customHeight="1" x14ac:dyDescent="0.25">
      <c r="A110" s="35"/>
      <c r="B110" s="36"/>
      <c r="C110" s="40" t="s">
        <v>146</v>
      </c>
      <c r="D110" s="38" t="s">
        <v>147</v>
      </c>
      <c r="E110" s="39"/>
      <c r="F110" s="38"/>
      <c r="G110" s="38"/>
      <c r="H110" s="38"/>
    </row>
    <row r="111" spans="1:8" ht="15" customHeight="1" x14ac:dyDescent="0.25">
      <c r="A111" s="35"/>
      <c r="B111" s="36">
        <v>0.79166666666666663</v>
      </c>
      <c r="C111" s="37" t="s">
        <v>73</v>
      </c>
      <c r="D111" s="38"/>
      <c r="E111" s="39">
        <f>$E$7</f>
        <v>3000</v>
      </c>
      <c r="F111" s="38">
        <v>1</v>
      </c>
      <c r="G111" s="38" t="s">
        <v>18</v>
      </c>
      <c r="H111" s="39">
        <f>IF(G111="VND",E111*F111,$E$1*E111*F111)</f>
        <v>510000</v>
      </c>
    </row>
    <row r="112" spans="1:8" ht="15" customHeight="1" x14ac:dyDescent="0.25">
      <c r="A112" s="35"/>
      <c r="B112" s="36"/>
      <c r="C112" s="37" t="s">
        <v>148</v>
      </c>
      <c r="D112" s="38"/>
      <c r="E112" s="39"/>
      <c r="F112" s="38"/>
      <c r="G112" s="38"/>
      <c r="H112" s="38"/>
    </row>
    <row r="113" spans="1:10" ht="15" customHeight="1" x14ac:dyDescent="0.25">
      <c r="A113" s="35"/>
      <c r="B113" s="36"/>
      <c r="C113" s="37" t="s">
        <v>149</v>
      </c>
      <c r="D113" s="38" t="s">
        <v>150</v>
      </c>
      <c r="E113" s="39"/>
      <c r="F113" s="38"/>
      <c r="G113" s="38"/>
      <c r="H113" s="38"/>
    </row>
    <row r="114" spans="1:10" ht="15" customHeight="1" x14ac:dyDescent="0.25">
      <c r="A114" s="35"/>
      <c r="B114" s="36"/>
      <c r="C114" s="37"/>
      <c r="D114" s="38"/>
      <c r="E114" s="39"/>
      <c r="F114" s="38"/>
      <c r="G114" s="38"/>
      <c r="H114" s="38"/>
    </row>
    <row r="115" spans="1:10" ht="15" customHeight="1" x14ac:dyDescent="0.25">
      <c r="A115" s="31" t="s">
        <v>151</v>
      </c>
      <c r="B115" s="32"/>
      <c r="C115" s="33"/>
      <c r="D115" s="32"/>
      <c r="E115" s="34"/>
      <c r="F115" s="32"/>
      <c r="G115" s="32"/>
      <c r="H115" s="32"/>
      <c r="I115" s="12"/>
      <c r="J115" s="12"/>
    </row>
    <row r="116" spans="1:10" ht="15" customHeight="1" x14ac:dyDescent="0.25">
      <c r="A116" s="35"/>
      <c r="B116" s="36">
        <v>0.33333333333333331</v>
      </c>
      <c r="C116" s="37" t="s">
        <v>152</v>
      </c>
      <c r="D116" s="38" t="s">
        <v>119</v>
      </c>
      <c r="E116" s="39">
        <f>$E$8</f>
        <v>900</v>
      </c>
      <c r="F116" s="38">
        <v>1</v>
      </c>
      <c r="G116" s="38" t="s">
        <v>18</v>
      </c>
      <c r="H116" s="39">
        <f>IF(G116="VND",E116*F116,$E$1*E116*F116)</f>
        <v>153000</v>
      </c>
    </row>
    <row r="117" spans="1:10" ht="15" customHeight="1" x14ac:dyDescent="0.25">
      <c r="A117" s="35"/>
      <c r="B117" s="36"/>
      <c r="C117" s="37"/>
      <c r="D117" s="38"/>
      <c r="E117" s="39"/>
      <c r="F117" s="38"/>
      <c r="G117" s="38"/>
      <c r="H117" s="38"/>
    </row>
    <row r="118" spans="1:10" ht="15" customHeight="1" x14ac:dyDescent="0.25">
      <c r="A118" s="35"/>
      <c r="B118" s="36">
        <v>0.39583333333333331</v>
      </c>
      <c r="C118" s="37" t="s">
        <v>153</v>
      </c>
      <c r="D118" s="38" t="s">
        <v>154</v>
      </c>
      <c r="E118" s="39">
        <v>2700</v>
      </c>
      <c r="F118" s="38">
        <v>3</v>
      </c>
      <c r="G118" s="38" t="s">
        <v>111</v>
      </c>
      <c r="H118" s="39">
        <f>IF(G118="VND",E118*F118,$E$1*E118*F118)</f>
        <v>1377000</v>
      </c>
    </row>
    <row r="119" spans="1:10" ht="15" customHeight="1" x14ac:dyDescent="0.25">
      <c r="A119" s="35"/>
      <c r="B119" s="36">
        <v>0.45833333333333331</v>
      </c>
      <c r="C119" s="54" t="s">
        <v>155</v>
      </c>
      <c r="D119" s="55" t="s">
        <v>156</v>
      </c>
      <c r="E119" s="56">
        <v>0</v>
      </c>
      <c r="F119" s="38">
        <v>1</v>
      </c>
      <c r="G119" s="38" t="s">
        <v>111</v>
      </c>
      <c r="H119" s="39">
        <f>IF(G119="VND",E119*F119,$E$1*E119*F119)</f>
        <v>0</v>
      </c>
    </row>
    <row r="120" spans="1:10" ht="15" customHeight="1" x14ac:dyDescent="0.25">
      <c r="A120" s="35"/>
      <c r="B120" s="36">
        <v>0.5</v>
      </c>
      <c r="C120" s="54" t="s">
        <v>157</v>
      </c>
      <c r="D120" s="55" t="s">
        <v>158</v>
      </c>
      <c r="E120" s="56">
        <f>410</f>
        <v>410</v>
      </c>
      <c r="F120" s="38">
        <v>3</v>
      </c>
      <c r="G120" s="38" t="s">
        <v>111</v>
      </c>
      <c r="H120" s="39">
        <f>IF(G120="VND",E120*F120,$E$1*E120*F120)</f>
        <v>209100</v>
      </c>
    </row>
    <row r="121" spans="1:10" ht="15" customHeight="1" x14ac:dyDescent="0.25">
      <c r="A121" s="35"/>
      <c r="B121" s="36"/>
      <c r="C121" s="54" t="s">
        <v>159</v>
      </c>
      <c r="D121" s="55" t="s">
        <v>160</v>
      </c>
      <c r="E121" s="56"/>
      <c r="F121" s="38"/>
      <c r="G121" s="38"/>
      <c r="H121" s="39"/>
    </row>
    <row r="122" spans="1:10" ht="15" customHeight="1" x14ac:dyDescent="0.25">
      <c r="A122" s="35"/>
      <c r="B122" s="57"/>
      <c r="C122" s="54" t="s">
        <v>161</v>
      </c>
      <c r="D122" s="55"/>
      <c r="E122" s="56">
        <v>350</v>
      </c>
      <c r="F122" s="38">
        <v>1</v>
      </c>
      <c r="G122" s="38" t="s">
        <v>111</v>
      </c>
      <c r="H122" s="39">
        <f>IF(G122="VND",E122*F122,$E$1*E122*F122)</f>
        <v>59500</v>
      </c>
    </row>
    <row r="123" spans="1:10" ht="15" customHeight="1" x14ac:dyDescent="0.25">
      <c r="A123" s="37"/>
      <c r="B123" s="57">
        <v>0.52083333333333337</v>
      </c>
      <c r="C123" s="54" t="s">
        <v>162</v>
      </c>
      <c r="D123" s="55" t="s">
        <v>163</v>
      </c>
      <c r="E123" s="56">
        <v>1000</v>
      </c>
      <c r="F123" s="38">
        <v>3</v>
      </c>
      <c r="G123" s="38" t="s">
        <v>111</v>
      </c>
      <c r="H123" s="39">
        <f>IF(G123="VND",E123*F123,$E$1*E123*F123)</f>
        <v>510000</v>
      </c>
    </row>
    <row r="124" spans="1:10" ht="15" customHeight="1" x14ac:dyDescent="0.25">
      <c r="A124" s="37"/>
      <c r="B124" s="57">
        <v>0.58333333333333337</v>
      </c>
      <c r="C124" s="54" t="s">
        <v>164</v>
      </c>
      <c r="D124" s="55" t="s">
        <v>165</v>
      </c>
      <c r="E124" s="56">
        <v>370000</v>
      </c>
      <c r="F124" s="38">
        <v>3</v>
      </c>
      <c r="G124" s="38" t="s">
        <v>22</v>
      </c>
      <c r="H124" s="39">
        <f>IF(G124="VND",E124*F124,$E$1*E124*F124)</f>
        <v>1110000</v>
      </c>
    </row>
    <row r="125" spans="1:10" ht="15" customHeight="1" x14ac:dyDescent="0.25">
      <c r="A125" s="37"/>
      <c r="B125" s="57">
        <v>0.64583333333333337</v>
      </c>
      <c r="C125" s="54" t="s">
        <v>166</v>
      </c>
      <c r="D125" s="55"/>
      <c r="E125" s="56"/>
      <c r="F125" s="38"/>
      <c r="G125" s="38"/>
      <c r="H125" s="39"/>
    </row>
    <row r="126" spans="1:10" ht="15" customHeight="1" x14ac:dyDescent="0.25">
      <c r="A126" s="37"/>
      <c r="B126" s="57"/>
      <c r="C126" s="54" t="s">
        <v>167</v>
      </c>
      <c r="D126" s="55"/>
      <c r="E126" s="38">
        <v>240</v>
      </c>
      <c r="F126" s="38">
        <v>3</v>
      </c>
      <c r="G126" s="38" t="s">
        <v>111</v>
      </c>
      <c r="H126" s="39">
        <f>IF(G126="VND",E126*F126,$E$1*E126*F126)</f>
        <v>122400</v>
      </c>
    </row>
    <row r="127" spans="1:10" ht="15" customHeight="1" x14ac:dyDescent="0.25">
      <c r="A127" s="37"/>
      <c r="B127" s="57">
        <v>0.70833333333333337</v>
      </c>
      <c r="C127" s="68" t="s">
        <v>168</v>
      </c>
      <c r="D127" s="55"/>
      <c r="E127" s="38"/>
      <c r="F127" s="38"/>
      <c r="G127" s="38"/>
      <c r="H127" s="39"/>
    </row>
    <row r="128" spans="1:10" ht="15" customHeight="1" x14ac:dyDescent="0.25">
      <c r="A128" s="37"/>
      <c r="B128" s="57"/>
      <c r="C128" s="54" t="s">
        <v>169</v>
      </c>
      <c r="D128" s="55" t="s">
        <v>170</v>
      </c>
      <c r="E128" s="38">
        <v>190</v>
      </c>
      <c r="F128" s="38">
        <v>3</v>
      </c>
      <c r="G128" s="38" t="s">
        <v>111</v>
      </c>
      <c r="H128" s="39">
        <f>IF(G128="VND",E128*F128,$E$1*E128*F128)</f>
        <v>96900</v>
      </c>
    </row>
    <row r="129" spans="1:8" ht="15" customHeight="1" x14ac:dyDescent="0.25">
      <c r="A129" s="37"/>
      <c r="B129" s="57"/>
      <c r="C129" s="69" t="s">
        <v>171</v>
      </c>
      <c r="D129" s="55"/>
      <c r="E129" s="38"/>
      <c r="F129" s="38"/>
      <c r="G129" s="38"/>
      <c r="H129" s="39"/>
    </row>
    <row r="130" spans="1:8" ht="156.75" customHeight="1" x14ac:dyDescent="0.25">
      <c r="A130" s="37"/>
      <c r="B130" s="36">
        <v>0.79166666666666663</v>
      </c>
      <c r="C130" s="37" t="s">
        <v>172</v>
      </c>
      <c r="D130" s="38" t="s">
        <v>173</v>
      </c>
      <c r="E130" s="39"/>
      <c r="F130" s="38"/>
      <c r="G130" s="38"/>
      <c r="H130" s="38"/>
    </row>
    <row r="131" spans="1:8" ht="15" customHeight="1" x14ac:dyDescent="0.25">
      <c r="A131" s="37"/>
      <c r="B131" s="38"/>
      <c r="C131" s="37" t="s">
        <v>174</v>
      </c>
      <c r="D131" s="38"/>
      <c r="E131" s="39"/>
      <c r="F131" s="38"/>
      <c r="G131" s="38"/>
      <c r="H131" s="38"/>
    </row>
    <row r="132" spans="1:8" ht="15" customHeight="1" x14ac:dyDescent="0.25">
      <c r="A132" s="37"/>
      <c r="B132" s="38"/>
      <c r="C132" s="37" t="s">
        <v>175</v>
      </c>
      <c r="D132" s="38"/>
      <c r="E132" s="39">
        <v>190</v>
      </c>
      <c r="F132" s="38">
        <v>3</v>
      </c>
      <c r="G132" s="38" t="s">
        <v>18</v>
      </c>
      <c r="H132" s="39">
        <f t="shared" ref="H132" si="1">IF(G132="VND",E132*F132,$E$1*E132*F132)</f>
        <v>96900</v>
      </c>
    </row>
    <row r="133" spans="1:8" ht="15" customHeight="1" x14ac:dyDescent="0.25">
      <c r="A133" s="37"/>
      <c r="B133" s="38"/>
      <c r="C133" s="44" t="s">
        <v>73</v>
      </c>
      <c r="D133" s="38" t="s">
        <v>176</v>
      </c>
      <c r="E133" s="39">
        <f>$E$7</f>
        <v>3000</v>
      </c>
      <c r="F133" s="38">
        <v>1</v>
      </c>
      <c r="G133" s="38" t="s">
        <v>18</v>
      </c>
      <c r="H133" s="39">
        <f>IF(G133="VND",E133*F133,$E$1*E133*F133)</f>
        <v>510000</v>
      </c>
    </row>
    <row r="134" spans="1:8" ht="15" customHeight="1" x14ac:dyDescent="0.25">
      <c r="A134" s="37"/>
      <c r="B134" s="38"/>
      <c r="C134" s="37" t="s">
        <v>177</v>
      </c>
      <c r="D134" s="38"/>
      <c r="E134" s="39"/>
      <c r="F134" s="38"/>
      <c r="G134" s="38"/>
      <c r="H134" s="38"/>
    </row>
    <row r="135" spans="1:8" ht="15" customHeight="1" x14ac:dyDescent="0.25">
      <c r="A135" s="37"/>
      <c r="B135" s="38"/>
      <c r="C135" s="54" t="s">
        <v>157</v>
      </c>
      <c r="D135" s="38"/>
      <c r="E135" s="39"/>
      <c r="F135" s="38"/>
      <c r="G135" s="38"/>
      <c r="H135" s="38"/>
    </row>
    <row r="136" spans="1:8" ht="15" customHeight="1" x14ac:dyDescent="0.25">
      <c r="A136" s="37"/>
      <c r="B136" s="38"/>
      <c r="C136" s="54" t="s">
        <v>178</v>
      </c>
      <c r="D136" s="38"/>
      <c r="E136" s="56">
        <v>240</v>
      </c>
      <c r="F136" s="38">
        <v>3</v>
      </c>
      <c r="G136" s="38" t="s">
        <v>111</v>
      </c>
      <c r="H136" s="39">
        <f>IF(G136="VND",E136*F136,$E$1*E136*F136)</f>
        <v>122400</v>
      </c>
    </row>
    <row r="137" spans="1:8" ht="15" customHeight="1" x14ac:dyDescent="0.25">
      <c r="A137" s="37"/>
      <c r="B137" s="38"/>
      <c r="C137" s="257" t="s">
        <v>179</v>
      </c>
      <c r="D137" s="38"/>
      <c r="E137" s="39"/>
      <c r="F137" s="38"/>
      <c r="G137" s="38"/>
      <c r="H137" s="39">
        <f t="shared" ref="H137" si="2">IF(G137="VND",E137*F137,$E$1*E137*F137)</f>
        <v>0</v>
      </c>
    </row>
    <row r="138" spans="1:8" ht="15" customHeight="1" x14ac:dyDescent="0.25">
      <c r="A138" s="37"/>
      <c r="B138" s="38"/>
      <c r="C138" s="257"/>
      <c r="D138" s="38"/>
      <c r="E138" s="39"/>
      <c r="F138" s="38"/>
      <c r="G138" s="38"/>
      <c r="H138" s="39">
        <f>IF(G138="VND",E138*F138,$E$1*E138*F138)</f>
        <v>0</v>
      </c>
    </row>
    <row r="139" spans="1:8" ht="15" customHeight="1" x14ac:dyDescent="0.25">
      <c r="A139" s="37"/>
      <c r="B139" s="38"/>
      <c r="C139" s="54" t="s">
        <v>180</v>
      </c>
      <c r="D139" s="38"/>
      <c r="E139" s="56">
        <v>240</v>
      </c>
      <c r="F139" s="38">
        <v>3</v>
      </c>
      <c r="G139" s="38" t="s">
        <v>111</v>
      </c>
      <c r="H139" s="39">
        <f>IF(G139="VND",E139*F139,$E$1*E139*F139)</f>
        <v>122400</v>
      </c>
    </row>
    <row r="140" spans="1:8" ht="15" customHeight="1" x14ac:dyDescent="0.25">
      <c r="A140" s="37"/>
      <c r="B140" s="38"/>
      <c r="C140" s="37" t="s">
        <v>149</v>
      </c>
      <c r="D140" s="38"/>
      <c r="E140" s="39"/>
      <c r="F140" s="38"/>
      <c r="G140" s="38"/>
      <c r="H140" s="38"/>
    </row>
    <row r="141" spans="1:8" ht="15" customHeight="1" x14ac:dyDescent="0.25">
      <c r="A141" s="37"/>
      <c r="B141" s="38"/>
      <c r="C141" s="37" t="s">
        <v>181</v>
      </c>
      <c r="D141" s="38"/>
      <c r="E141" s="39"/>
      <c r="F141" s="38"/>
      <c r="G141" s="38"/>
      <c r="H141" s="38"/>
    </row>
    <row r="142" spans="1:8" s="12" customFormat="1" ht="15" customHeight="1" x14ac:dyDescent="0.25">
      <c r="A142" s="58" t="s">
        <v>182</v>
      </c>
      <c r="B142" s="59"/>
      <c r="C142" s="59"/>
      <c r="D142" s="59"/>
      <c r="E142" s="60"/>
      <c r="F142" s="59"/>
      <c r="G142" s="59"/>
      <c r="H142" s="59"/>
    </row>
    <row r="143" spans="1:8" ht="15" customHeight="1" x14ac:dyDescent="0.25">
      <c r="A143" s="44"/>
      <c r="B143" s="57">
        <v>0.29166666666666669</v>
      </c>
      <c r="C143" s="54" t="s">
        <v>179</v>
      </c>
      <c r="D143" s="55" t="s">
        <v>183</v>
      </c>
      <c r="E143" s="39">
        <f>$E$8</f>
        <v>900</v>
      </c>
      <c r="F143" s="38">
        <v>1</v>
      </c>
      <c r="G143" s="38" t="s">
        <v>111</v>
      </c>
      <c r="H143" s="39">
        <f>IF(G143="VND",E143*F143,$E$1*E143*F143)</f>
        <v>153000</v>
      </c>
    </row>
    <row r="144" spans="1:8" ht="15" customHeight="1" x14ac:dyDescent="0.25">
      <c r="A144" s="44"/>
      <c r="B144" s="57">
        <v>0.375</v>
      </c>
      <c r="C144" s="54" t="s">
        <v>184</v>
      </c>
      <c r="D144" s="55" t="s">
        <v>185</v>
      </c>
      <c r="E144" s="56">
        <v>830</v>
      </c>
      <c r="F144" s="38">
        <v>3</v>
      </c>
      <c r="G144" s="38" t="s">
        <v>111</v>
      </c>
      <c r="H144" s="39">
        <f>IF(G144="VND",E144*F144,$E$1*E144*F144)</f>
        <v>423300</v>
      </c>
    </row>
    <row r="145" spans="1:8" ht="15" customHeight="1" x14ac:dyDescent="0.25">
      <c r="A145" s="44"/>
      <c r="B145" s="55"/>
      <c r="C145" s="54"/>
      <c r="D145" s="55" t="s">
        <v>186</v>
      </c>
      <c r="E145" s="56">
        <v>800</v>
      </c>
      <c r="F145" s="38">
        <v>3</v>
      </c>
      <c r="G145" s="38" t="s">
        <v>111</v>
      </c>
      <c r="H145" s="39">
        <f t="shared" ref="H145:H148" si="3">IF(G145="VND",E145*F145,$E$1*E145*F145)</f>
        <v>408000</v>
      </c>
    </row>
    <row r="146" spans="1:8" ht="15" customHeight="1" x14ac:dyDescent="0.25">
      <c r="A146" s="44"/>
      <c r="B146" s="57">
        <v>0.41666666666666669</v>
      </c>
      <c r="C146" s="54" t="s">
        <v>187</v>
      </c>
      <c r="D146" s="55" t="s">
        <v>188</v>
      </c>
      <c r="E146" s="56">
        <v>0</v>
      </c>
      <c r="F146" s="38">
        <v>0</v>
      </c>
      <c r="G146" s="38" t="s">
        <v>111</v>
      </c>
      <c r="H146" s="39">
        <f t="shared" si="3"/>
        <v>0</v>
      </c>
    </row>
    <row r="147" spans="1:8" ht="15" customHeight="1" x14ac:dyDescent="0.25">
      <c r="A147" s="44"/>
      <c r="B147" s="57">
        <v>0.45833333333333331</v>
      </c>
      <c r="C147" s="54" t="s">
        <v>189</v>
      </c>
      <c r="D147" s="55" t="s">
        <v>190</v>
      </c>
      <c r="E147" s="56">
        <v>180</v>
      </c>
      <c r="F147" s="38">
        <v>3</v>
      </c>
      <c r="G147" s="38" t="s">
        <v>111</v>
      </c>
      <c r="H147" s="39">
        <f t="shared" si="3"/>
        <v>91800</v>
      </c>
    </row>
    <row r="148" spans="1:8" ht="15" customHeight="1" x14ac:dyDescent="0.25">
      <c r="A148" s="44"/>
      <c r="B148" s="57">
        <v>0.47916666666666669</v>
      </c>
      <c r="C148" s="54" t="s">
        <v>191</v>
      </c>
      <c r="D148" s="55" t="s">
        <v>192</v>
      </c>
      <c r="E148" s="56">
        <v>1200</v>
      </c>
      <c r="F148" s="38">
        <v>3</v>
      </c>
      <c r="G148" s="38" t="s">
        <v>111</v>
      </c>
      <c r="H148" s="39">
        <f t="shared" si="3"/>
        <v>612000</v>
      </c>
    </row>
    <row r="149" spans="1:8" ht="15" customHeight="1" x14ac:dyDescent="0.25">
      <c r="A149" s="37"/>
      <c r="B149" s="36">
        <v>0.60416666666666663</v>
      </c>
      <c r="C149" s="37" t="s">
        <v>193</v>
      </c>
      <c r="D149" s="38" t="s">
        <v>194</v>
      </c>
      <c r="E149" s="39">
        <v>3500</v>
      </c>
      <c r="F149" s="38">
        <v>3</v>
      </c>
      <c r="G149" s="38" t="s">
        <v>111</v>
      </c>
      <c r="H149" s="39">
        <f t="shared" ref="H149" si="4">IF(G149="VND",E149*F149,$E$1*E149*F149)</f>
        <v>1785000</v>
      </c>
    </row>
    <row r="150" spans="1:8" ht="15" customHeight="1" x14ac:dyDescent="0.25">
      <c r="A150" s="37"/>
      <c r="B150" s="36"/>
      <c r="C150" s="37" t="s">
        <v>195</v>
      </c>
      <c r="D150" s="38"/>
      <c r="E150" s="39">
        <v>360</v>
      </c>
      <c r="F150" s="38">
        <v>3</v>
      </c>
      <c r="G150" s="38" t="s">
        <v>18</v>
      </c>
      <c r="H150" s="39">
        <f t="shared" ref="H150" si="5">IF(G150="VND",E150*F150,$E$1*E150*F150)</f>
        <v>183600</v>
      </c>
    </row>
    <row r="151" spans="1:8" ht="15" customHeight="1" x14ac:dyDescent="0.25">
      <c r="A151" s="37"/>
      <c r="B151" s="36"/>
      <c r="C151" s="37" t="s">
        <v>196</v>
      </c>
      <c r="D151" s="38" t="s">
        <v>197</v>
      </c>
      <c r="E151" s="39">
        <v>1000</v>
      </c>
      <c r="F151" s="38">
        <v>3</v>
      </c>
      <c r="G151" s="38" t="s">
        <v>18</v>
      </c>
      <c r="H151" s="39">
        <f t="shared" ref="H151" si="6">IF(G151="VND",E151*F151,$E$1*E151*F151)</f>
        <v>510000</v>
      </c>
    </row>
    <row r="152" spans="1:8" ht="15" customHeight="1" x14ac:dyDescent="0.25">
      <c r="A152" s="37"/>
      <c r="B152" s="36">
        <v>0.83333333333333337</v>
      </c>
      <c r="C152" s="37" t="s">
        <v>172</v>
      </c>
      <c r="D152" s="38"/>
      <c r="E152" s="39"/>
      <c r="F152" s="38"/>
      <c r="G152" s="38"/>
      <c r="H152" s="38"/>
    </row>
    <row r="153" spans="1:8" ht="15" customHeight="1" x14ac:dyDescent="0.25">
      <c r="A153" s="37"/>
      <c r="B153" s="36"/>
      <c r="C153" s="37" t="s">
        <v>198</v>
      </c>
      <c r="D153" s="38"/>
      <c r="E153" s="39">
        <v>490</v>
      </c>
      <c r="F153" s="38">
        <v>3</v>
      </c>
      <c r="G153" s="38" t="s">
        <v>18</v>
      </c>
      <c r="H153" s="39">
        <f t="shared" ref="H153" si="7">IF(G153="VND",E153*F153,$E$1*E153*F153)</f>
        <v>249900</v>
      </c>
    </row>
    <row r="154" spans="1:8" ht="15" customHeight="1" x14ac:dyDescent="0.25">
      <c r="A154" s="37"/>
      <c r="B154" s="36"/>
      <c r="C154" s="37" t="s">
        <v>73</v>
      </c>
      <c r="D154" s="38" t="s">
        <v>199</v>
      </c>
      <c r="E154" s="39"/>
      <c r="F154" s="38"/>
      <c r="G154" s="38"/>
      <c r="H154" s="38"/>
    </row>
    <row r="155" spans="1:8" ht="15" customHeight="1" x14ac:dyDescent="0.25">
      <c r="A155" s="37"/>
      <c r="B155" s="36"/>
      <c r="C155" s="37" t="s">
        <v>177</v>
      </c>
      <c r="D155" s="38"/>
      <c r="E155" s="39"/>
      <c r="F155" s="38"/>
      <c r="G155" s="38"/>
      <c r="H155" s="38"/>
    </row>
    <row r="156" spans="1:8" ht="15" customHeight="1" x14ac:dyDescent="0.25">
      <c r="A156" s="37"/>
      <c r="B156" s="36"/>
      <c r="C156" s="37" t="s">
        <v>149</v>
      </c>
      <c r="D156" s="38"/>
      <c r="E156" s="39"/>
      <c r="F156" s="38"/>
      <c r="G156" s="38"/>
      <c r="H156" s="38"/>
    </row>
    <row r="157" spans="1:8" ht="15" customHeight="1" x14ac:dyDescent="0.25">
      <c r="A157" s="37"/>
      <c r="B157" s="36"/>
      <c r="C157" s="37" t="s">
        <v>169</v>
      </c>
      <c r="D157" s="38"/>
      <c r="E157" s="39">
        <v>190</v>
      </c>
      <c r="F157" s="38">
        <v>3</v>
      </c>
      <c r="G157" s="38" t="s">
        <v>18</v>
      </c>
      <c r="H157" s="39">
        <f t="shared" ref="H157" si="8">IF(G157="VND",E157*F157,$E$1*E157*F157)</f>
        <v>96900</v>
      </c>
    </row>
    <row r="158" spans="1:8" ht="15" customHeight="1" x14ac:dyDescent="0.25">
      <c r="A158" s="37"/>
      <c r="B158" s="36"/>
      <c r="C158" s="37" t="s">
        <v>181</v>
      </c>
      <c r="D158" s="38"/>
      <c r="E158" s="39"/>
      <c r="F158" s="38"/>
      <c r="G158" s="38"/>
      <c r="H158" s="38"/>
    </row>
    <row r="159" spans="1:8" s="12" customFormat="1" ht="15" customHeight="1" x14ac:dyDescent="0.25">
      <c r="A159" s="61" t="s">
        <v>200</v>
      </c>
      <c r="B159" s="61"/>
      <c r="C159" s="61"/>
      <c r="D159" s="61"/>
      <c r="E159" s="62"/>
      <c r="F159" s="61"/>
      <c r="G159" s="61"/>
      <c r="H159" s="61"/>
    </row>
    <row r="160" spans="1:8" ht="15" customHeight="1" x14ac:dyDescent="0.25">
      <c r="A160" s="37"/>
      <c r="B160" s="38"/>
      <c r="C160" s="37" t="s">
        <v>201</v>
      </c>
      <c r="D160" s="38" t="s">
        <v>202</v>
      </c>
      <c r="E160" s="39"/>
      <c r="F160" s="38"/>
      <c r="G160" s="38"/>
      <c r="H160" s="38"/>
    </row>
    <row r="161" spans="1:8" ht="15" customHeight="1" x14ac:dyDescent="0.25">
      <c r="A161" s="37"/>
      <c r="B161" s="38"/>
      <c r="C161" s="37" t="s">
        <v>203</v>
      </c>
      <c r="D161" s="38"/>
      <c r="E161" s="39">
        <v>700</v>
      </c>
      <c r="F161" s="38">
        <v>2</v>
      </c>
      <c r="G161" s="38" t="s">
        <v>18</v>
      </c>
      <c r="H161" s="39">
        <f>IF(G161="VND",E161*F161,$E$1*E161*F161)</f>
        <v>238000</v>
      </c>
    </row>
    <row r="162" spans="1:8" ht="15" customHeight="1" x14ac:dyDescent="0.25">
      <c r="A162" s="37"/>
      <c r="B162" s="36">
        <v>0.29166666666666669</v>
      </c>
      <c r="C162" s="44" t="s">
        <v>183</v>
      </c>
      <c r="D162" s="38"/>
      <c r="E162" s="39">
        <f>$E$8</f>
        <v>900</v>
      </c>
      <c r="F162" s="38">
        <v>1</v>
      </c>
      <c r="G162" s="38" t="s">
        <v>18</v>
      </c>
      <c r="H162" s="39">
        <f>IF(G162="VND",E162*F162,$E$1*E162*F162)</f>
        <v>153000</v>
      </c>
    </row>
    <row r="163" spans="1:8" ht="15" customHeight="1" x14ac:dyDescent="0.25">
      <c r="A163" s="37"/>
      <c r="B163" s="36">
        <v>0.3125</v>
      </c>
      <c r="C163" s="37" t="s">
        <v>204</v>
      </c>
      <c r="D163" s="38"/>
      <c r="E163" s="39"/>
      <c r="F163" s="38"/>
      <c r="G163" s="38"/>
      <c r="H163" s="39"/>
    </row>
    <row r="164" spans="1:8" ht="15" customHeight="1" x14ac:dyDescent="0.25">
      <c r="A164" s="37"/>
      <c r="B164" s="36"/>
      <c r="C164" s="37" t="s">
        <v>205</v>
      </c>
      <c r="D164" s="38"/>
      <c r="E164" s="39">
        <v>190</v>
      </c>
      <c r="F164" s="38">
        <v>3</v>
      </c>
      <c r="G164" s="38" t="s">
        <v>18</v>
      </c>
      <c r="H164" s="39">
        <f>IF(G164="VND",E164*F164,$E$1*E164*F164)</f>
        <v>96900</v>
      </c>
    </row>
    <row r="165" spans="1:8" ht="15" customHeight="1" x14ac:dyDescent="0.25">
      <c r="A165" s="37"/>
      <c r="B165" s="36">
        <v>0.375</v>
      </c>
      <c r="C165" s="37" t="s">
        <v>206</v>
      </c>
      <c r="D165" s="38" t="s">
        <v>207</v>
      </c>
      <c r="E165" s="39">
        <v>500</v>
      </c>
      <c r="F165" s="38">
        <v>2</v>
      </c>
      <c r="G165" s="38" t="s">
        <v>18</v>
      </c>
      <c r="H165" s="39">
        <f t="shared" ref="H165:H168" si="9">IF(G165="VND",E165*F165,$E$1*E165*F165)</f>
        <v>170000</v>
      </c>
    </row>
    <row r="166" spans="1:8" ht="15" customHeight="1" x14ac:dyDescent="0.25">
      <c r="A166" s="37"/>
      <c r="B166" s="57">
        <v>0.45833333333333331</v>
      </c>
      <c r="C166" s="54" t="s">
        <v>208</v>
      </c>
      <c r="D166" s="38" t="s">
        <v>209</v>
      </c>
      <c r="E166" s="56">
        <v>2000</v>
      </c>
      <c r="F166" s="38">
        <v>3</v>
      </c>
      <c r="G166" s="38" t="s">
        <v>18</v>
      </c>
      <c r="H166" s="39">
        <f t="shared" si="9"/>
        <v>1020000</v>
      </c>
    </row>
    <row r="167" spans="1:8" ht="15" customHeight="1" x14ac:dyDescent="0.25">
      <c r="A167" s="37"/>
      <c r="B167" s="57">
        <v>0.5</v>
      </c>
      <c r="C167" s="54" t="s">
        <v>179</v>
      </c>
      <c r="D167" s="38" t="s">
        <v>210</v>
      </c>
      <c r="E167" s="56">
        <v>190</v>
      </c>
      <c r="F167" s="38">
        <v>3</v>
      </c>
      <c r="G167" s="38" t="s">
        <v>18</v>
      </c>
      <c r="H167" s="39">
        <f t="shared" si="9"/>
        <v>96900</v>
      </c>
    </row>
    <row r="168" spans="1:8" ht="24.75" customHeight="1" x14ac:dyDescent="0.25">
      <c r="A168" s="37"/>
      <c r="B168" s="57">
        <v>0.5625</v>
      </c>
      <c r="C168" s="54" t="s">
        <v>211</v>
      </c>
      <c r="D168" s="38" t="s">
        <v>212</v>
      </c>
      <c r="E168" s="56">
        <v>970</v>
      </c>
      <c r="F168" s="38">
        <v>3</v>
      </c>
      <c r="G168" s="38" t="s">
        <v>18</v>
      </c>
      <c r="H168" s="39">
        <f t="shared" si="9"/>
        <v>494700</v>
      </c>
    </row>
    <row r="169" spans="1:8" ht="36" customHeight="1" x14ac:dyDescent="0.25">
      <c r="A169" s="37"/>
      <c r="B169" s="38" t="s">
        <v>213</v>
      </c>
      <c r="C169" s="37"/>
      <c r="D169" s="38" t="s">
        <v>214</v>
      </c>
      <c r="E169" s="63">
        <v>4000000</v>
      </c>
      <c r="F169" s="64">
        <v>3</v>
      </c>
      <c r="G169" s="64" t="s">
        <v>22</v>
      </c>
      <c r="H169" s="65">
        <f>IF(G169="VND",E169*F169,$E$1*E169*F169)</f>
        <v>12000000</v>
      </c>
    </row>
    <row r="170" spans="1:8" ht="15" customHeight="1" x14ac:dyDescent="0.25">
      <c r="A170" s="17"/>
      <c r="B170" s="17"/>
      <c r="C170" s="23"/>
      <c r="D170" s="23"/>
      <c r="E170" s="16"/>
      <c r="F170" s="17"/>
      <c r="G170" s="17"/>
      <c r="H170" s="17"/>
    </row>
    <row r="171" spans="1:8" ht="15" customHeight="1" x14ac:dyDescent="0.25">
      <c r="B171" s="17"/>
      <c r="C171" s="23"/>
      <c r="D171" s="23"/>
      <c r="E171" s="19" t="s">
        <v>215</v>
      </c>
      <c r="H171" s="20">
        <f>SUM(H3:H170)</f>
        <v>74613700</v>
      </c>
    </row>
    <row r="172" spans="1:8" ht="15" customHeight="1" x14ac:dyDescent="0.25">
      <c r="B172" s="17"/>
      <c r="C172" s="23"/>
      <c r="D172" s="23"/>
      <c r="E172" s="21" t="s">
        <v>0</v>
      </c>
      <c r="F172" s="13"/>
      <c r="G172" s="13"/>
      <c r="H172" s="22">
        <f>H171/3</f>
        <v>24871233.333333332</v>
      </c>
    </row>
  </sheetData>
  <mergeCells count="1">
    <mergeCell ref="C137:C138"/>
  </mergeCells>
  <hyperlinks>
    <hyperlink ref="J3" r:id="rId1" xr:uid="{7D35C1A3-FFEE-49E9-A7F8-3FDF7F936DCC}"/>
    <hyperlink ref="D3" r:id="rId2" xr:uid="{DE71C375-ECBC-433A-8B8D-80D0CA3AAB01}"/>
    <hyperlink ref="D59" r:id="rId3" xr:uid="{FA65BAF4-778D-4422-A548-5AD57DEC5BE0}"/>
    <hyperlink ref="D32" r:id="rId4" display="711" xr:uid="{0C9526CC-0FC8-4A17-97C9-09631ED61E02}"/>
    <hyperlink ref="D91" r:id="rId5" xr:uid="{0FD63366-C949-4D1B-A55F-10F0B94AB889}"/>
    <hyperlink ref="D24" r:id="rId6" xr:uid="{29B3BDBD-9FCB-45E4-B5FC-78CB3A93570D}"/>
    <hyperlink ref="D23" r:id="rId7" xr:uid="{FCE4D3D8-CDC0-45E6-89F0-EC7BF5638E60}"/>
    <hyperlink ref="D36" r:id="rId8" xr:uid="{60B8777B-E713-4DD6-BAC8-980701BB2B3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DDEEB-8A73-084C-BFD7-622F458B623A}">
  <sheetPr>
    <tabColor rgb="FFFF0000"/>
    <pageSetUpPr fitToPage="1"/>
  </sheetPr>
  <dimension ref="A1:L123"/>
  <sheetViews>
    <sheetView showGridLines="0" topLeftCell="A5" zoomScaleNormal="100" workbookViewId="0">
      <selection activeCell="D100" sqref="D100"/>
    </sheetView>
  </sheetViews>
  <sheetFormatPr defaultColWidth="10.85546875" defaultRowHeight="15.75" x14ac:dyDescent="0.25"/>
  <cols>
    <col min="1" max="1" width="9" style="202" customWidth="1"/>
    <col min="2" max="2" width="8.42578125" style="91" customWidth="1"/>
    <col min="3" max="3" width="48.28515625" style="208" customWidth="1"/>
    <col min="4" max="4" width="33.85546875" style="208" customWidth="1"/>
    <col min="5" max="5" width="14.28515625" style="169" bestFit="1" customWidth="1"/>
    <col min="6" max="6" width="5.140625" style="203" bestFit="1" customWidth="1"/>
    <col min="7" max="7" width="8.7109375" style="91" bestFit="1" customWidth="1"/>
    <col min="8" max="8" width="16" style="169" customWidth="1"/>
    <col min="9" max="9" width="12.140625" style="91" customWidth="1"/>
    <col min="10" max="10" width="11.85546875" style="91" customWidth="1"/>
    <col min="11" max="16384" width="10.85546875" style="91"/>
  </cols>
  <sheetData>
    <row r="1" spans="1:10" s="83" customFormat="1" x14ac:dyDescent="0.25">
      <c r="A1" s="210" t="s">
        <v>216</v>
      </c>
      <c r="B1" s="211" t="s">
        <v>217</v>
      </c>
      <c r="C1" s="212" t="s">
        <v>218</v>
      </c>
      <c r="D1" s="212" t="s">
        <v>219</v>
      </c>
      <c r="E1" s="213" t="s">
        <v>220</v>
      </c>
      <c r="F1" s="214" t="s">
        <v>221</v>
      </c>
      <c r="G1" s="215" t="s">
        <v>222</v>
      </c>
      <c r="H1" s="213" t="s">
        <v>223</v>
      </c>
      <c r="I1" s="82" t="s">
        <v>224</v>
      </c>
      <c r="J1" s="78" t="s">
        <v>225</v>
      </c>
    </row>
    <row r="2" spans="1:10" s="258" customFormat="1" x14ac:dyDescent="0.25">
      <c r="A2" s="258" t="s">
        <v>226</v>
      </c>
    </row>
    <row r="3" spans="1:10" x14ac:dyDescent="0.25">
      <c r="A3" s="84"/>
      <c r="B3" s="85"/>
      <c r="C3" s="86" t="s">
        <v>2</v>
      </c>
      <c r="D3" s="87"/>
      <c r="E3" s="88">
        <v>167</v>
      </c>
      <c r="F3" s="89"/>
      <c r="G3" s="90" t="s">
        <v>18</v>
      </c>
      <c r="H3" s="88"/>
      <c r="I3" s="90"/>
      <c r="J3" s="90"/>
    </row>
    <row r="4" spans="1:10" x14ac:dyDescent="0.25">
      <c r="A4" s="92"/>
      <c r="B4" s="85"/>
      <c r="C4" s="93" t="s">
        <v>19</v>
      </c>
      <c r="D4" s="84"/>
      <c r="E4" s="94"/>
      <c r="F4" s="95"/>
      <c r="G4" s="85"/>
      <c r="H4" s="96"/>
      <c r="I4" s="85"/>
      <c r="J4" s="85"/>
    </row>
    <row r="5" spans="1:10" x14ac:dyDescent="0.25">
      <c r="A5" s="84"/>
      <c r="B5" s="85"/>
      <c r="C5" s="84" t="s">
        <v>6</v>
      </c>
      <c r="D5" s="84"/>
      <c r="E5" s="96">
        <v>1600000</v>
      </c>
      <c r="F5" s="95">
        <v>2</v>
      </c>
      <c r="G5" s="85" t="s">
        <v>22</v>
      </c>
      <c r="H5" s="96">
        <f>E5*F5</f>
        <v>3200000</v>
      </c>
      <c r="I5" s="96">
        <v>1</v>
      </c>
      <c r="J5" s="96" t="s">
        <v>227</v>
      </c>
    </row>
    <row r="6" spans="1:10" x14ac:dyDescent="0.25">
      <c r="A6" s="84"/>
      <c r="B6" s="85"/>
      <c r="C6" s="84" t="s">
        <v>228</v>
      </c>
      <c r="D6" s="84"/>
      <c r="E6" s="96">
        <v>467000</v>
      </c>
      <c r="F6" s="95">
        <v>2</v>
      </c>
      <c r="G6" s="85" t="s">
        <v>22</v>
      </c>
      <c r="H6" s="96">
        <f>E6*F6</f>
        <v>934000</v>
      </c>
      <c r="I6" s="96">
        <v>1</v>
      </c>
      <c r="J6" s="96" t="s">
        <v>227</v>
      </c>
    </row>
    <row r="7" spans="1:10" x14ac:dyDescent="0.25">
      <c r="A7" s="93"/>
      <c r="B7" s="85"/>
      <c r="C7" s="93" t="s">
        <v>229</v>
      </c>
      <c r="D7" s="84"/>
      <c r="E7" s="96"/>
      <c r="F7" s="95"/>
      <c r="G7" s="85"/>
      <c r="H7" s="96"/>
      <c r="I7" s="96"/>
      <c r="J7" s="96"/>
    </row>
    <row r="8" spans="1:10" x14ac:dyDescent="0.25">
      <c r="A8" s="84"/>
      <c r="B8" s="85"/>
      <c r="C8" s="259" t="s">
        <v>230</v>
      </c>
      <c r="D8" s="259"/>
      <c r="E8" s="96">
        <v>1500</v>
      </c>
      <c r="F8" s="95"/>
      <c r="G8" s="85"/>
      <c r="H8" s="96"/>
      <c r="I8" s="96"/>
      <c r="J8" s="96"/>
    </row>
    <row r="9" spans="1:10" x14ac:dyDescent="0.25">
      <c r="A9" s="84"/>
      <c r="B9" s="85"/>
      <c r="C9" s="84" t="s">
        <v>231</v>
      </c>
      <c r="D9" s="84"/>
      <c r="E9" s="96">
        <v>500</v>
      </c>
      <c r="F9" s="95"/>
      <c r="G9" s="85"/>
      <c r="H9" s="96"/>
      <c r="I9" s="85"/>
      <c r="J9" s="85"/>
    </row>
    <row r="10" spans="1:10" x14ac:dyDescent="0.25">
      <c r="A10" s="84"/>
      <c r="B10" s="85"/>
      <c r="C10" s="84" t="s">
        <v>232</v>
      </c>
      <c r="D10" s="84"/>
      <c r="E10" s="96">
        <v>1500</v>
      </c>
      <c r="F10" s="95"/>
      <c r="G10" s="85"/>
      <c r="H10" s="96"/>
      <c r="I10" s="85"/>
      <c r="J10" s="85"/>
    </row>
    <row r="11" spans="1:10" x14ac:dyDescent="0.25">
      <c r="A11" s="259" t="s">
        <v>233</v>
      </c>
      <c r="B11" s="259"/>
      <c r="C11" s="99">
        <v>27</v>
      </c>
      <c r="D11" s="84"/>
      <c r="E11" s="96"/>
      <c r="F11" s="95"/>
      <c r="G11" s="85"/>
      <c r="H11" s="96"/>
      <c r="I11" s="85"/>
      <c r="J11" s="85"/>
    </row>
    <row r="12" spans="1:10" s="14" customFormat="1" x14ac:dyDescent="0.25">
      <c r="A12" s="72" t="str">
        <f>"Ngày 1: "&amp;C11&amp;"/11/2025 - Thứ 6 - XUẤT PHÁT TỪ HÀ NỘI + ODAIBA"</f>
        <v>Ngày 1: 27/11/2025 - Thứ 6 - XUẤT PHÁT TỪ HÀ NỘI + ODAIBA</v>
      </c>
      <c r="B12" s="73"/>
      <c r="C12" s="74"/>
      <c r="D12" s="74"/>
      <c r="E12" s="75"/>
      <c r="F12" s="76"/>
      <c r="G12" s="73"/>
      <c r="H12" s="75"/>
      <c r="I12" s="73"/>
      <c r="J12" s="73"/>
    </row>
    <row r="13" spans="1:10" ht="15" customHeight="1" x14ac:dyDescent="0.25">
      <c r="A13" s="114">
        <v>3.8194444444444441E-2</v>
      </c>
      <c r="B13" s="109">
        <v>0.33333333333333331</v>
      </c>
      <c r="C13" s="107" t="s">
        <v>234</v>
      </c>
      <c r="D13" s="84"/>
      <c r="E13" s="96">
        <f>3966000+4351000</f>
        <v>8317000</v>
      </c>
      <c r="F13" s="108">
        <v>2</v>
      </c>
      <c r="G13" s="85" t="s">
        <v>22</v>
      </c>
      <c r="H13" s="96">
        <f t="shared" ref="H13:H23" si="0">IF(G13="VND",E13*F13,$E$3*E13*F13)</f>
        <v>16634000</v>
      </c>
      <c r="I13" s="96" t="s">
        <v>235</v>
      </c>
      <c r="J13" s="96" t="s">
        <v>227</v>
      </c>
    </row>
    <row r="14" spans="1:10" ht="15" customHeight="1" x14ac:dyDescent="0.25">
      <c r="A14" s="114">
        <v>0.33333333333333331</v>
      </c>
      <c r="B14" s="109">
        <v>0.39583333333333331</v>
      </c>
      <c r="C14" s="107" t="s">
        <v>236</v>
      </c>
      <c r="D14" s="84"/>
      <c r="E14" s="96"/>
      <c r="F14" s="108"/>
      <c r="G14" s="85"/>
      <c r="H14" s="96"/>
      <c r="I14" s="96"/>
      <c r="J14" s="96"/>
    </row>
    <row r="15" spans="1:10" ht="15" customHeight="1" x14ac:dyDescent="0.25">
      <c r="A15" s="114">
        <v>0.40277777777777773</v>
      </c>
      <c r="B15" s="109">
        <v>0.44444444444444442</v>
      </c>
      <c r="C15" s="107" t="s">
        <v>237</v>
      </c>
      <c r="D15" s="84" t="s">
        <v>238</v>
      </c>
      <c r="E15" s="96">
        <v>2780</v>
      </c>
      <c r="F15" s="108">
        <v>2</v>
      </c>
      <c r="G15" s="85" t="s">
        <v>18</v>
      </c>
      <c r="H15" s="96">
        <f t="shared" si="0"/>
        <v>928520</v>
      </c>
      <c r="I15" s="96"/>
      <c r="J15" s="96"/>
    </row>
    <row r="16" spans="1:10" ht="15" customHeight="1" x14ac:dyDescent="0.25">
      <c r="A16" s="114">
        <v>0.45833333333333331</v>
      </c>
      <c r="B16" s="109">
        <v>0.58333333333333337</v>
      </c>
      <c r="C16" s="107" t="s">
        <v>239</v>
      </c>
      <c r="D16" s="216" t="s">
        <v>240</v>
      </c>
      <c r="E16" s="96" t="e">
        <f>bigmeal</f>
        <v>#REF!</v>
      </c>
      <c r="F16" s="108">
        <v>2</v>
      </c>
      <c r="G16" s="85" t="s">
        <v>18</v>
      </c>
      <c r="H16" s="96" t="e">
        <f t="shared" si="0"/>
        <v>#REF!</v>
      </c>
      <c r="I16" s="96"/>
      <c r="J16" s="96"/>
    </row>
    <row r="17" spans="1:12" ht="15" customHeight="1" x14ac:dyDescent="0.25">
      <c r="A17" s="114">
        <v>0.45833333333333331</v>
      </c>
      <c r="B17" s="109">
        <v>0.54166666666666663</v>
      </c>
      <c r="C17" s="231" t="s">
        <v>241</v>
      </c>
      <c r="D17" s="84"/>
      <c r="E17" s="96">
        <v>1500000</v>
      </c>
      <c r="F17" s="108">
        <v>1</v>
      </c>
      <c r="G17" s="85" t="s">
        <v>22</v>
      </c>
      <c r="H17" s="96">
        <f t="shared" si="0"/>
        <v>1500000</v>
      </c>
      <c r="I17" s="96" t="s">
        <v>242</v>
      </c>
      <c r="J17" s="96"/>
    </row>
    <row r="18" spans="1:12" ht="15" customHeight="1" x14ac:dyDescent="0.25">
      <c r="A18" s="114">
        <v>0.55208333333333337</v>
      </c>
      <c r="B18" s="109">
        <v>0.58333333333333337</v>
      </c>
      <c r="C18" s="107" t="s">
        <v>243</v>
      </c>
      <c r="D18" s="84" t="s">
        <v>244</v>
      </c>
      <c r="E18" s="96">
        <v>650</v>
      </c>
      <c r="F18" s="108">
        <v>2</v>
      </c>
      <c r="G18" s="85" t="s">
        <v>18</v>
      </c>
      <c r="H18" s="96">
        <f t="shared" si="0"/>
        <v>217100</v>
      </c>
      <c r="I18" s="96"/>
      <c r="J18" s="96"/>
    </row>
    <row r="19" spans="1:12" ht="15" customHeight="1" x14ac:dyDescent="0.25">
      <c r="A19" s="114">
        <v>0.58333333333333337</v>
      </c>
      <c r="B19" s="109">
        <v>0.6875</v>
      </c>
      <c r="C19" s="107" t="s">
        <v>245</v>
      </c>
      <c r="D19" s="84" t="s">
        <v>246</v>
      </c>
      <c r="E19" s="96">
        <v>940</v>
      </c>
      <c r="F19" s="108">
        <v>2</v>
      </c>
      <c r="G19" s="85" t="s">
        <v>18</v>
      </c>
      <c r="H19" s="96">
        <f t="shared" si="0"/>
        <v>313960</v>
      </c>
      <c r="I19" s="96"/>
      <c r="J19" s="96"/>
    </row>
    <row r="20" spans="1:12" ht="15" customHeight="1" x14ac:dyDescent="0.25">
      <c r="A20" s="114">
        <v>0.6875</v>
      </c>
      <c r="B20" s="109">
        <v>0.72916666666666663</v>
      </c>
      <c r="C20" s="107" t="s">
        <v>247</v>
      </c>
      <c r="D20" s="84"/>
      <c r="E20" s="96"/>
      <c r="F20" s="108"/>
      <c r="G20" s="85"/>
      <c r="H20" s="96">
        <f t="shared" si="0"/>
        <v>0</v>
      </c>
      <c r="I20" s="96"/>
      <c r="J20" s="96"/>
    </row>
    <row r="21" spans="1:12" ht="15" customHeight="1" x14ac:dyDescent="0.25">
      <c r="A21" s="114">
        <v>0.75</v>
      </c>
      <c r="B21" s="109">
        <v>0.8125</v>
      </c>
      <c r="C21" s="107" t="s">
        <v>248</v>
      </c>
      <c r="D21" s="84"/>
      <c r="E21" s="96">
        <v>10000</v>
      </c>
      <c r="F21" s="108">
        <v>1</v>
      </c>
      <c r="G21" s="85" t="s">
        <v>18</v>
      </c>
      <c r="H21" s="96">
        <f>IF(G21="VND",E21*F21,$E$3*E21*F21)</f>
        <v>1670000</v>
      </c>
      <c r="I21" s="96" t="s">
        <v>249</v>
      </c>
      <c r="J21" s="96"/>
    </row>
    <row r="22" spans="1:12" ht="15" customHeight="1" x14ac:dyDescent="0.25">
      <c r="A22" s="114">
        <v>0.875</v>
      </c>
      <c r="B22" s="109">
        <v>0.89583333333333337</v>
      </c>
      <c r="C22" s="107" t="s">
        <v>250</v>
      </c>
      <c r="D22" s="84"/>
      <c r="E22" s="96">
        <v>650</v>
      </c>
      <c r="F22" s="108">
        <v>2</v>
      </c>
      <c r="G22" s="85" t="s">
        <v>18</v>
      </c>
      <c r="H22" s="96">
        <f t="shared" si="0"/>
        <v>217100</v>
      </c>
      <c r="I22" s="96"/>
      <c r="J22" s="96"/>
    </row>
    <row r="23" spans="1:12" ht="15" customHeight="1" x14ac:dyDescent="0.25">
      <c r="A23" s="114">
        <v>0.91666666666666663</v>
      </c>
      <c r="B23" s="109"/>
      <c r="C23" s="107" t="s">
        <v>251</v>
      </c>
      <c r="D23" s="84" t="s">
        <v>252</v>
      </c>
      <c r="E23" s="96" t="e">
        <f>morning</f>
        <v>#REF!</v>
      </c>
      <c r="F23" s="108">
        <v>2</v>
      </c>
      <c r="G23" s="85" t="s">
        <v>18</v>
      </c>
      <c r="H23" s="96" t="e">
        <f t="shared" si="0"/>
        <v>#REF!</v>
      </c>
      <c r="I23" s="96"/>
      <c r="J23" s="96"/>
    </row>
    <row r="24" spans="1:12" ht="15" customHeight="1" x14ac:dyDescent="0.25">
      <c r="A24" s="114"/>
      <c r="B24" s="109"/>
      <c r="C24" s="107"/>
      <c r="D24" s="84"/>
      <c r="E24" s="96"/>
      <c r="F24" s="108"/>
      <c r="G24" s="85"/>
      <c r="H24" s="96"/>
      <c r="I24" s="96"/>
      <c r="J24" s="96"/>
    </row>
    <row r="25" spans="1:12" x14ac:dyDescent="0.25">
      <c r="A25" s="114"/>
      <c r="B25" s="109"/>
      <c r="C25" s="235" t="s">
        <v>253</v>
      </c>
      <c r="D25" s="84"/>
      <c r="E25" s="96"/>
      <c r="F25" s="108"/>
      <c r="G25" s="85"/>
      <c r="H25" s="96"/>
      <c r="I25" s="96"/>
      <c r="J25" s="96"/>
    </row>
    <row r="26" spans="1:12" x14ac:dyDescent="0.25">
      <c r="A26" s="114"/>
      <c r="B26" s="109"/>
      <c r="C26" s="107" t="s">
        <v>254</v>
      </c>
      <c r="D26" s="84"/>
      <c r="E26" s="96"/>
      <c r="F26" s="108"/>
      <c r="G26" s="85"/>
      <c r="H26" s="96"/>
      <c r="I26" s="96"/>
      <c r="J26" s="96"/>
    </row>
    <row r="27" spans="1:12" x14ac:dyDescent="0.25">
      <c r="A27" s="114"/>
      <c r="B27" s="109"/>
      <c r="C27" s="107" t="s">
        <v>255</v>
      </c>
      <c r="D27" s="84"/>
      <c r="E27" s="96"/>
      <c r="F27" s="108"/>
      <c r="G27" s="85"/>
      <c r="H27" s="96"/>
      <c r="I27" s="96"/>
      <c r="J27" s="96"/>
    </row>
    <row r="28" spans="1:12" x14ac:dyDescent="0.25">
      <c r="A28" s="114"/>
      <c r="B28" s="109"/>
      <c r="C28" s="107" t="s">
        <v>256</v>
      </c>
      <c r="D28" s="84"/>
      <c r="E28" s="96"/>
      <c r="F28" s="108"/>
      <c r="G28" s="85"/>
      <c r="H28" s="96"/>
      <c r="I28" s="96"/>
      <c r="J28" s="96"/>
    </row>
    <row r="29" spans="1:12" x14ac:dyDescent="0.25">
      <c r="A29" s="114"/>
      <c r="B29" s="109"/>
      <c r="C29" s="107" t="s">
        <v>257</v>
      </c>
      <c r="D29" s="84"/>
      <c r="E29" s="96"/>
      <c r="F29" s="108"/>
      <c r="G29" s="85"/>
      <c r="H29" s="96"/>
      <c r="I29" s="96"/>
      <c r="J29" s="96"/>
    </row>
    <row r="30" spans="1:12" x14ac:dyDescent="0.25">
      <c r="A30" s="114"/>
      <c r="B30" s="109"/>
      <c r="C30" s="107" t="s">
        <v>258</v>
      </c>
      <c r="D30" s="84"/>
      <c r="E30" s="96"/>
      <c r="F30" s="108"/>
      <c r="G30" s="85"/>
      <c r="H30" s="96"/>
      <c r="I30" s="96"/>
      <c r="J30" s="96"/>
    </row>
    <row r="31" spans="1:12" x14ac:dyDescent="0.25">
      <c r="A31" s="114"/>
      <c r="B31" s="109"/>
      <c r="C31" s="107"/>
      <c r="D31" s="84"/>
      <c r="E31" s="96"/>
      <c r="F31" s="108"/>
      <c r="G31" s="85"/>
      <c r="H31" s="96"/>
      <c r="I31" s="96"/>
      <c r="J31" s="96"/>
    </row>
    <row r="32" spans="1:12" s="15" customFormat="1" x14ac:dyDescent="0.25">
      <c r="A32" s="72" t="str">
        <f>"Ngày 2: "&amp;C11+1&amp;"/11/2025 - Thứ 7 - PHÚ SĨ 2 NGÀY 1 ĐÊM"</f>
        <v>Ngày 2: 28/11/2025 - Thứ 7 - PHÚ SĨ 2 NGÀY 1 ĐÊM</v>
      </c>
      <c r="B32" s="73"/>
      <c r="C32" s="74"/>
      <c r="D32" s="74"/>
      <c r="E32" s="75"/>
      <c r="F32" s="76"/>
      <c r="G32" s="73"/>
      <c r="H32" s="75"/>
      <c r="I32" s="73"/>
      <c r="J32" s="73"/>
      <c r="K32" s="14"/>
      <c r="L32" s="14"/>
    </row>
    <row r="33" spans="1:12" s="223" customFormat="1" x14ac:dyDescent="0.25">
      <c r="A33" s="217">
        <v>0.25</v>
      </c>
      <c r="B33" s="218">
        <v>0.66666666666666663</v>
      </c>
      <c r="C33" s="219" t="s">
        <v>259</v>
      </c>
      <c r="D33" s="219"/>
      <c r="E33" s="220">
        <v>12000</v>
      </c>
      <c r="F33" s="221">
        <v>3</v>
      </c>
      <c r="G33" s="222" t="s">
        <v>18</v>
      </c>
      <c r="H33" s="96">
        <f t="shared" ref="H33" si="1">IF(G33="VND",E33*F33,$E$3*E33*F33)</f>
        <v>6012000</v>
      </c>
      <c r="I33" s="222" t="s">
        <v>235</v>
      </c>
      <c r="J33" s="222"/>
    </row>
    <row r="34" spans="1:12" s="223" customFormat="1" x14ac:dyDescent="0.25">
      <c r="A34" s="224"/>
      <c r="B34" s="222"/>
      <c r="C34" s="225" t="s">
        <v>260</v>
      </c>
      <c r="D34" s="219"/>
      <c r="E34" s="220"/>
      <c r="F34" s="221"/>
      <c r="G34" s="222"/>
      <c r="H34" s="220"/>
      <c r="I34" s="222"/>
      <c r="J34" s="222"/>
    </row>
    <row r="35" spans="1:12" s="223" customFormat="1" x14ac:dyDescent="0.25">
      <c r="A35" s="224"/>
      <c r="B35" s="222"/>
      <c r="C35" s="225" t="s">
        <v>261</v>
      </c>
      <c r="D35" s="219"/>
      <c r="E35" s="220"/>
      <c r="F35" s="221"/>
      <c r="G35" s="222"/>
      <c r="H35" s="220"/>
      <c r="I35" s="222"/>
      <c r="J35" s="222"/>
    </row>
    <row r="36" spans="1:12" s="223" customFormat="1" x14ac:dyDescent="0.25">
      <c r="A36" s="224"/>
      <c r="B36" s="222"/>
      <c r="C36" s="225" t="s">
        <v>262</v>
      </c>
      <c r="D36" s="219"/>
      <c r="E36" s="220"/>
      <c r="F36" s="221"/>
      <c r="G36" s="222"/>
      <c r="H36" s="220"/>
      <c r="I36" s="222"/>
      <c r="J36" s="222"/>
    </row>
    <row r="37" spans="1:12" s="223" customFormat="1" x14ac:dyDescent="0.25">
      <c r="A37" s="224"/>
      <c r="B37" s="222"/>
      <c r="C37" s="225" t="s">
        <v>263</v>
      </c>
      <c r="D37" s="225"/>
      <c r="E37" s="220"/>
      <c r="F37" s="221"/>
      <c r="G37" s="222"/>
      <c r="H37" s="220"/>
      <c r="I37" s="222"/>
      <c r="J37" s="222"/>
    </row>
    <row r="38" spans="1:12" s="223" customFormat="1" x14ac:dyDescent="0.25">
      <c r="A38" s="224"/>
      <c r="B38" s="222"/>
      <c r="C38" s="225" t="s">
        <v>264</v>
      </c>
      <c r="D38" s="225"/>
      <c r="E38" s="220"/>
      <c r="F38" s="221"/>
      <c r="G38" s="222"/>
      <c r="H38" s="220"/>
      <c r="I38" s="222"/>
      <c r="J38" s="222"/>
    </row>
    <row r="39" spans="1:12" s="223" customFormat="1" x14ac:dyDescent="0.25">
      <c r="A39" s="217">
        <v>0.5</v>
      </c>
      <c r="B39" s="218"/>
      <c r="C39" s="225" t="s">
        <v>265</v>
      </c>
      <c r="D39" s="219"/>
      <c r="E39" s="220" t="e">
        <f>bigmeal</f>
        <v>#REF!</v>
      </c>
      <c r="F39" s="108">
        <v>2</v>
      </c>
      <c r="G39" s="85" t="s">
        <v>18</v>
      </c>
      <c r="H39" s="96" t="e">
        <f t="shared" ref="H39:H40" si="2">IF(G39="VND",E39*F39,$E$3*E39*F39)</f>
        <v>#REF!</v>
      </c>
      <c r="I39" s="222"/>
      <c r="J39" s="222"/>
    </row>
    <row r="40" spans="1:12" s="223" customFormat="1" x14ac:dyDescent="0.25">
      <c r="A40" s="224"/>
      <c r="B40" s="222"/>
      <c r="C40" s="219" t="s">
        <v>266</v>
      </c>
      <c r="D40" s="219"/>
      <c r="E40" s="220">
        <v>1800000</v>
      </c>
      <c r="F40" s="221">
        <v>1</v>
      </c>
      <c r="G40" s="222" t="s">
        <v>22</v>
      </c>
      <c r="H40" s="96">
        <f t="shared" si="2"/>
        <v>1800000</v>
      </c>
      <c r="I40" s="222" t="s">
        <v>242</v>
      </c>
      <c r="J40" s="222"/>
    </row>
    <row r="41" spans="1:12" s="223" customFormat="1" x14ac:dyDescent="0.25">
      <c r="A41" s="224"/>
      <c r="B41" s="222"/>
      <c r="C41" s="219" t="s">
        <v>267</v>
      </c>
      <c r="D41" s="219"/>
      <c r="E41" s="220"/>
      <c r="F41" s="221"/>
      <c r="G41" s="222"/>
      <c r="H41" s="220"/>
      <c r="I41" s="222"/>
      <c r="J41" s="222"/>
    </row>
    <row r="42" spans="1:12" s="223" customFormat="1" x14ac:dyDescent="0.25">
      <c r="A42" s="217">
        <v>0.75</v>
      </c>
      <c r="B42" s="218">
        <v>0.83333333333333337</v>
      </c>
      <c r="C42" s="219" t="s">
        <v>268</v>
      </c>
      <c r="D42" s="219"/>
      <c r="E42" s="220">
        <v>5000</v>
      </c>
      <c r="F42" s="108">
        <v>2</v>
      </c>
      <c r="G42" s="85" t="s">
        <v>18</v>
      </c>
      <c r="H42" s="96">
        <f t="shared" ref="H42" si="3">IF(G42="VND",E42*F42,$E$3*E42*F42)</f>
        <v>1670000</v>
      </c>
      <c r="I42" s="222" t="s">
        <v>249</v>
      </c>
      <c r="J42" s="222"/>
    </row>
    <row r="43" spans="1:12" s="223" customFormat="1" x14ac:dyDescent="0.25">
      <c r="A43" s="217">
        <v>0.91666666666666663</v>
      </c>
      <c r="B43" s="218"/>
      <c r="C43" s="219" t="s">
        <v>251</v>
      </c>
      <c r="D43" s="219" t="s">
        <v>252</v>
      </c>
      <c r="E43" s="220" t="e">
        <f>morning</f>
        <v>#REF!</v>
      </c>
      <c r="F43" s="108">
        <v>2</v>
      </c>
      <c r="G43" s="85" t="s">
        <v>18</v>
      </c>
      <c r="H43" s="96" t="e">
        <f t="shared" ref="H43" si="4">IF(G43="VND",E43*F43,$E$3*E43*F43)</f>
        <v>#REF!</v>
      </c>
      <c r="I43" s="222"/>
      <c r="J43" s="222"/>
    </row>
    <row r="44" spans="1:12" s="223" customFormat="1" x14ac:dyDescent="0.25">
      <c r="A44" s="217"/>
      <c r="B44" s="218"/>
      <c r="C44" s="219"/>
      <c r="D44" s="219"/>
      <c r="E44" s="220"/>
      <c r="F44" s="108"/>
      <c r="G44" s="85"/>
      <c r="H44" s="96"/>
      <c r="I44" s="222"/>
      <c r="J44" s="222"/>
    </row>
    <row r="45" spans="1:12" s="15" customFormat="1" x14ac:dyDescent="0.25">
      <c r="A45" s="72" t="str">
        <f>"Ngày 3: "&amp;C11+2&amp;"/11/2025 - PHÚ SĨ HIDDEN PLACES"</f>
        <v>Ngày 3: 29/11/2025 - PHÚ SĨ HIDDEN PLACES</v>
      </c>
      <c r="B45" s="73"/>
      <c r="C45" s="74"/>
      <c r="D45" s="74"/>
      <c r="E45" s="75"/>
      <c r="F45" s="76"/>
      <c r="G45" s="73"/>
      <c r="H45" s="75"/>
      <c r="I45" s="73"/>
      <c r="J45" s="73"/>
      <c r="K45" s="14"/>
      <c r="L45" s="14"/>
    </row>
    <row r="46" spans="1:12" x14ac:dyDescent="0.25">
      <c r="A46" s="114">
        <v>0.33333333333333331</v>
      </c>
      <c r="B46" s="127"/>
      <c r="C46" s="219" t="s">
        <v>269</v>
      </c>
      <c r="D46" s="157"/>
      <c r="E46" s="220">
        <v>1500</v>
      </c>
      <c r="F46" s="221">
        <v>2</v>
      </c>
      <c r="G46" s="222" t="s">
        <v>18</v>
      </c>
      <c r="H46" s="96">
        <f t="shared" ref="H46:H47" si="5">IF(G46="VND",E46*F46,$E$3*E46*F46)</f>
        <v>501000</v>
      </c>
      <c r="I46" s="127"/>
      <c r="J46" s="127"/>
      <c r="K46" s="130"/>
      <c r="L46" s="130"/>
    </row>
    <row r="47" spans="1:12" x14ac:dyDescent="0.25">
      <c r="A47" s="114"/>
      <c r="B47" s="85"/>
      <c r="C47" s="107" t="s">
        <v>270</v>
      </c>
      <c r="D47" s="199" t="s">
        <v>271</v>
      </c>
      <c r="E47" s="96">
        <v>1500</v>
      </c>
      <c r="F47" s="108">
        <v>2</v>
      </c>
      <c r="G47" s="85" t="s">
        <v>18</v>
      </c>
      <c r="H47" s="96">
        <f t="shared" si="5"/>
        <v>501000</v>
      </c>
      <c r="I47" s="96"/>
      <c r="J47" s="96"/>
    </row>
    <row r="48" spans="1:12" x14ac:dyDescent="0.25">
      <c r="A48" s="114"/>
      <c r="B48" s="85"/>
      <c r="C48" s="107" t="s">
        <v>272</v>
      </c>
      <c r="D48" s="199" t="s">
        <v>273</v>
      </c>
      <c r="E48" s="96">
        <v>0</v>
      </c>
      <c r="F48" s="108"/>
      <c r="G48" s="85"/>
      <c r="H48" s="96"/>
      <c r="I48" s="96"/>
      <c r="J48" s="96"/>
    </row>
    <row r="49" spans="1:10" x14ac:dyDescent="0.25">
      <c r="A49" s="114"/>
      <c r="B49" s="85"/>
      <c r="C49" s="107" t="s">
        <v>274</v>
      </c>
      <c r="D49" s="199" t="s">
        <v>275</v>
      </c>
      <c r="E49" s="96">
        <v>0</v>
      </c>
      <c r="F49" s="108"/>
      <c r="G49" s="85"/>
      <c r="H49" s="96"/>
      <c r="I49" s="96"/>
      <c r="J49" s="96"/>
    </row>
    <row r="50" spans="1:10" x14ac:dyDescent="0.25">
      <c r="A50" s="114"/>
      <c r="B50" s="85"/>
      <c r="C50" s="107" t="s">
        <v>276</v>
      </c>
      <c r="D50" s="199" t="s">
        <v>277</v>
      </c>
      <c r="E50" s="96">
        <v>0</v>
      </c>
      <c r="F50" s="108"/>
      <c r="G50" s="85"/>
      <c r="H50" s="96"/>
      <c r="I50" s="96"/>
      <c r="J50" s="96"/>
    </row>
    <row r="51" spans="1:10" x14ac:dyDescent="0.25">
      <c r="A51" s="114"/>
      <c r="B51" s="85"/>
      <c r="C51" s="84"/>
      <c r="D51" s="199"/>
      <c r="E51" s="96"/>
      <c r="F51" s="108"/>
      <c r="G51" s="85"/>
      <c r="H51" s="96"/>
      <c r="I51" s="96"/>
      <c r="J51" s="96"/>
    </row>
    <row r="52" spans="1:10" x14ac:dyDescent="0.25">
      <c r="A52" s="114"/>
      <c r="B52" s="85"/>
      <c r="C52" s="107" t="s">
        <v>278</v>
      </c>
      <c r="D52" s="84"/>
      <c r="E52" s="96"/>
      <c r="F52" s="108"/>
      <c r="G52" s="85"/>
      <c r="H52" s="96"/>
      <c r="I52" s="96"/>
      <c r="J52" s="96"/>
    </row>
    <row r="53" spans="1:10" x14ac:dyDescent="0.25">
      <c r="A53" s="114"/>
      <c r="B53" s="85"/>
      <c r="C53" s="107" t="s">
        <v>279</v>
      </c>
      <c r="D53" s="199" t="s">
        <v>280</v>
      </c>
      <c r="E53" s="96"/>
      <c r="F53" s="108"/>
      <c r="G53" s="85"/>
      <c r="H53" s="96"/>
      <c r="I53" s="96"/>
      <c r="J53" s="96"/>
    </row>
    <row r="54" spans="1:10" x14ac:dyDescent="0.25">
      <c r="A54" s="114"/>
      <c r="B54" s="85"/>
      <c r="C54" s="107" t="s">
        <v>281</v>
      </c>
      <c r="D54" s="199" t="s">
        <v>282</v>
      </c>
      <c r="E54" s="96"/>
      <c r="F54" s="108"/>
      <c r="G54" s="85"/>
      <c r="H54" s="96"/>
      <c r="I54" s="96"/>
      <c r="J54" s="96"/>
    </row>
    <row r="55" spans="1:10" x14ac:dyDescent="0.25">
      <c r="A55" s="114"/>
      <c r="B55" s="85"/>
      <c r="C55" s="107" t="s">
        <v>283</v>
      </c>
      <c r="D55" s="199" t="s">
        <v>284</v>
      </c>
      <c r="E55" s="96">
        <v>0</v>
      </c>
      <c r="F55" s="108"/>
      <c r="G55" s="85"/>
      <c r="H55" s="96"/>
      <c r="I55" s="96"/>
      <c r="J55" s="96"/>
    </row>
    <row r="56" spans="1:10" x14ac:dyDescent="0.25">
      <c r="A56" s="114"/>
      <c r="B56" s="85"/>
      <c r="C56" s="84"/>
      <c r="D56" s="84"/>
      <c r="E56" s="96"/>
      <c r="F56" s="108"/>
      <c r="G56" s="85"/>
      <c r="H56" s="96"/>
      <c r="I56" s="96"/>
      <c r="J56" s="96"/>
    </row>
    <row r="57" spans="1:10" x14ac:dyDescent="0.25">
      <c r="A57" s="114">
        <v>0.5</v>
      </c>
      <c r="B57" s="85"/>
      <c r="C57" s="84" t="s">
        <v>239</v>
      </c>
      <c r="D57" s="84"/>
      <c r="E57" s="220" t="e">
        <f>bigmeal</f>
        <v>#REF!</v>
      </c>
      <c r="F57" s="108">
        <v>2</v>
      </c>
      <c r="G57" s="85" t="s">
        <v>18</v>
      </c>
      <c r="H57" s="96" t="e">
        <f t="shared" ref="H57:H58" si="6">IF(G57="VND",E57*F57,$E$3*E57*F57)</f>
        <v>#REF!</v>
      </c>
      <c r="I57" s="96"/>
      <c r="J57" s="96"/>
    </row>
    <row r="58" spans="1:10" x14ac:dyDescent="0.25">
      <c r="A58" s="114">
        <v>0.625</v>
      </c>
      <c r="B58" s="109">
        <v>0.70833333333333337</v>
      </c>
      <c r="C58" s="84" t="s">
        <v>285</v>
      </c>
      <c r="D58" s="84"/>
      <c r="E58" s="220">
        <v>2380</v>
      </c>
      <c r="F58" s="108">
        <v>2</v>
      </c>
      <c r="G58" s="85" t="s">
        <v>18</v>
      </c>
      <c r="H58" s="96">
        <f t="shared" si="6"/>
        <v>794920</v>
      </c>
      <c r="I58" s="96"/>
      <c r="J58" s="96"/>
    </row>
    <row r="59" spans="1:10" x14ac:dyDescent="0.25">
      <c r="A59" s="114">
        <v>0.79166666666666663</v>
      </c>
      <c r="B59" s="85"/>
      <c r="C59" s="84" t="s">
        <v>286</v>
      </c>
      <c r="D59" s="84" t="s">
        <v>287</v>
      </c>
      <c r="E59" s="220">
        <v>2200</v>
      </c>
      <c r="F59" s="108">
        <v>2</v>
      </c>
      <c r="G59" s="85" t="s">
        <v>18</v>
      </c>
      <c r="H59" s="96">
        <f t="shared" ref="H59:H61" si="7">IF(G59="VND",E59*F59,$E$3*E59*F59)</f>
        <v>734800</v>
      </c>
      <c r="I59" s="96"/>
      <c r="J59" s="96"/>
    </row>
    <row r="60" spans="1:10" x14ac:dyDescent="0.25">
      <c r="A60" s="114"/>
      <c r="B60" s="85"/>
      <c r="C60" s="230" t="s">
        <v>266</v>
      </c>
      <c r="D60" s="84"/>
      <c r="E60" s="220">
        <f>E17</f>
        <v>1500000</v>
      </c>
      <c r="F60" s="221">
        <v>1</v>
      </c>
      <c r="G60" s="222" t="s">
        <v>22</v>
      </c>
      <c r="H60" s="96">
        <f t="shared" si="7"/>
        <v>1500000</v>
      </c>
      <c r="I60" s="96" t="s">
        <v>242</v>
      </c>
      <c r="J60" s="96"/>
    </row>
    <row r="61" spans="1:10" x14ac:dyDescent="0.25">
      <c r="A61" s="114"/>
      <c r="B61" s="85"/>
      <c r="C61" s="84" t="s">
        <v>288</v>
      </c>
      <c r="D61" s="219" t="s">
        <v>252</v>
      </c>
      <c r="E61" s="220" t="e">
        <f>morning</f>
        <v>#REF!</v>
      </c>
      <c r="F61" s="108">
        <v>2</v>
      </c>
      <c r="G61" s="85" t="s">
        <v>18</v>
      </c>
      <c r="H61" s="96" t="e">
        <f t="shared" si="7"/>
        <v>#REF!</v>
      </c>
      <c r="I61" s="96"/>
      <c r="J61" s="96"/>
    </row>
    <row r="62" spans="1:10" x14ac:dyDescent="0.25">
      <c r="A62" s="114"/>
      <c r="B62" s="85"/>
      <c r="C62" s="84"/>
      <c r="D62" s="84"/>
      <c r="E62" s="96"/>
      <c r="F62" s="108"/>
      <c r="G62" s="85"/>
      <c r="H62" s="96"/>
      <c r="I62" s="96"/>
      <c r="J62" s="96"/>
    </row>
    <row r="63" spans="1:10" s="15" customFormat="1" x14ac:dyDescent="0.25">
      <c r="A63" s="72" t="str">
        <f>"Ngày 4: "&amp;C11+3&amp;"/11/2025 - NGHỈ SÁNG, ĐI NAGANO, HAKUBA"</f>
        <v>Ngày 4: 30/11/2025 - NGHỈ SÁNG, ĐI NAGANO, HAKUBA</v>
      </c>
      <c r="B63" s="73"/>
      <c r="C63" s="74"/>
      <c r="D63" s="74"/>
      <c r="E63" s="75"/>
      <c r="F63" s="76"/>
      <c r="G63" s="73"/>
      <c r="H63" s="75"/>
      <c r="I63" s="73"/>
      <c r="J63" s="73"/>
    </row>
    <row r="64" spans="1:10" s="223" customFormat="1" x14ac:dyDescent="0.25">
      <c r="A64" s="217">
        <v>0.33333333333333331</v>
      </c>
      <c r="B64" s="218">
        <v>0.45833333333333331</v>
      </c>
      <c r="C64" s="219" t="s">
        <v>289</v>
      </c>
      <c r="D64" s="219" t="s">
        <v>290</v>
      </c>
      <c r="E64" s="220">
        <v>11540</v>
      </c>
      <c r="F64" s="221">
        <v>2</v>
      </c>
      <c r="G64" s="222" t="s">
        <v>18</v>
      </c>
      <c r="H64" s="96">
        <f t="shared" ref="H64:H67" si="8">IF(G64="VND",E64*F64,$E$3*E64*F64)</f>
        <v>3854360</v>
      </c>
      <c r="I64" s="222" t="s">
        <v>235</v>
      </c>
      <c r="J64" s="222"/>
    </row>
    <row r="65" spans="1:12" s="223" customFormat="1" x14ac:dyDescent="0.25">
      <c r="A65" s="224"/>
      <c r="B65" s="222"/>
      <c r="C65" s="219" t="s">
        <v>239</v>
      </c>
      <c r="D65" s="219"/>
      <c r="E65" s="220" t="e">
        <f>bigmeal</f>
        <v>#REF!</v>
      </c>
      <c r="F65" s="108">
        <v>2</v>
      </c>
      <c r="G65" s="85" t="s">
        <v>18</v>
      </c>
      <c r="H65" s="96" t="e">
        <f t="shared" si="8"/>
        <v>#REF!</v>
      </c>
      <c r="I65" s="222"/>
      <c r="J65" s="222"/>
    </row>
    <row r="66" spans="1:12" s="223" customFormat="1" x14ac:dyDescent="0.25">
      <c r="A66" s="224"/>
      <c r="B66" s="222"/>
      <c r="C66" s="219" t="s">
        <v>291</v>
      </c>
      <c r="D66" s="219"/>
      <c r="E66" s="220">
        <v>2400000</v>
      </c>
      <c r="F66" s="221">
        <v>2</v>
      </c>
      <c r="G66" s="222" t="s">
        <v>22</v>
      </c>
      <c r="H66" s="96">
        <f t="shared" si="8"/>
        <v>4800000</v>
      </c>
      <c r="I66" s="222" t="s">
        <v>242</v>
      </c>
      <c r="J66" s="222"/>
    </row>
    <row r="67" spans="1:12" s="223" customFormat="1" x14ac:dyDescent="0.25">
      <c r="A67" s="217">
        <v>0.58333333333333337</v>
      </c>
      <c r="B67" s="222"/>
      <c r="C67" s="219" t="s">
        <v>292</v>
      </c>
      <c r="D67" s="219" t="s">
        <v>293</v>
      </c>
      <c r="E67" s="220">
        <v>1500</v>
      </c>
      <c r="F67" s="221">
        <v>2</v>
      </c>
      <c r="G67" s="222" t="s">
        <v>18</v>
      </c>
      <c r="H67" s="96">
        <f t="shared" si="8"/>
        <v>501000</v>
      </c>
      <c r="I67" s="222"/>
      <c r="J67" s="222"/>
    </row>
    <row r="68" spans="1:12" s="223" customFormat="1" x14ac:dyDescent="0.25">
      <c r="A68" s="224"/>
      <c r="B68" s="222"/>
      <c r="C68" s="219" t="s">
        <v>294</v>
      </c>
      <c r="D68" s="219"/>
      <c r="E68" s="220">
        <v>260</v>
      </c>
      <c r="F68" s="221">
        <v>2</v>
      </c>
      <c r="G68" s="222" t="s">
        <v>18</v>
      </c>
      <c r="H68" s="96">
        <f t="shared" ref="H68" si="9">IF(G68="VND",E68*F68,$E$3*E68*F68)</f>
        <v>86840</v>
      </c>
      <c r="I68" s="222"/>
      <c r="J68" s="222"/>
    </row>
    <row r="69" spans="1:12" s="223" customFormat="1" x14ac:dyDescent="0.25">
      <c r="A69" s="224"/>
      <c r="B69" s="222"/>
      <c r="C69" s="219"/>
      <c r="D69" s="219"/>
      <c r="E69" s="220">
        <v>1500</v>
      </c>
      <c r="F69" s="221">
        <v>2</v>
      </c>
      <c r="G69" s="222" t="s">
        <v>18</v>
      </c>
      <c r="H69" s="96">
        <f t="shared" ref="H69" si="10">IF(G69="VND",E69*F69,$E$3*E69*F69)</f>
        <v>501000</v>
      </c>
      <c r="I69" s="222"/>
      <c r="J69" s="222"/>
    </row>
    <row r="70" spans="1:12" s="223" customFormat="1" x14ac:dyDescent="0.25">
      <c r="A70" s="226"/>
      <c r="B70" s="218"/>
      <c r="C70" s="219" t="s">
        <v>295</v>
      </c>
      <c r="D70" s="219"/>
      <c r="E70" s="220">
        <v>260</v>
      </c>
      <c r="F70" s="221">
        <v>2</v>
      </c>
      <c r="G70" s="222" t="s">
        <v>18</v>
      </c>
      <c r="H70" s="96">
        <f t="shared" ref="H70" si="11">IF(G70="VND",E70*F70,$E$3*E70*F70)</f>
        <v>86840</v>
      </c>
      <c r="I70" s="222"/>
      <c r="J70" s="222"/>
    </row>
    <row r="71" spans="1:12" s="223" customFormat="1" x14ac:dyDescent="0.25">
      <c r="A71" s="226">
        <v>0.83333333333333337</v>
      </c>
      <c r="B71" s="218"/>
      <c r="C71" s="219" t="s">
        <v>73</v>
      </c>
      <c r="D71" s="219"/>
      <c r="E71" s="220" t="e">
        <f>bigmeal</f>
        <v>#REF!</v>
      </c>
      <c r="F71" s="221">
        <v>2</v>
      </c>
      <c r="G71" s="222" t="s">
        <v>18</v>
      </c>
      <c r="H71" s="96" t="e">
        <f t="shared" ref="H71:H72" si="12">IF(G71="VND",E71*F71,$E$3*E71*F71)</f>
        <v>#REF!</v>
      </c>
      <c r="I71" s="222"/>
      <c r="J71" s="222"/>
    </row>
    <row r="72" spans="1:12" s="223" customFormat="1" x14ac:dyDescent="0.25">
      <c r="A72" s="226"/>
      <c r="B72" s="218"/>
      <c r="C72" s="219" t="s">
        <v>251</v>
      </c>
      <c r="D72" s="219" t="s">
        <v>252</v>
      </c>
      <c r="E72" s="220" t="e">
        <f>morning</f>
        <v>#REF!</v>
      </c>
      <c r="F72" s="227">
        <v>2</v>
      </c>
      <c r="G72" s="222" t="s">
        <v>18</v>
      </c>
      <c r="H72" s="220" t="e">
        <f t="shared" si="12"/>
        <v>#REF!</v>
      </c>
      <c r="I72" s="222"/>
      <c r="J72" s="222"/>
    </row>
    <row r="73" spans="1:12" x14ac:dyDescent="0.25">
      <c r="A73" s="114"/>
      <c r="B73" s="109"/>
      <c r="C73" s="84"/>
      <c r="D73" s="84"/>
      <c r="E73" s="96"/>
      <c r="F73" s="108"/>
      <c r="G73" s="85"/>
      <c r="H73" s="96"/>
      <c r="I73" s="85"/>
      <c r="J73" s="85"/>
    </row>
    <row r="74" spans="1:12" x14ac:dyDescent="0.25">
      <c r="A74" s="72" t="str">
        <f>"Ngày 5: "&amp;"1/12/2025 -  HAKUBA SKI RESORT"</f>
        <v>Ngày 5: 1/12/2025 -  HAKUBA SKI RESORT</v>
      </c>
      <c r="B74" s="73"/>
      <c r="C74" s="74"/>
      <c r="D74" s="74"/>
      <c r="E74" s="75"/>
      <c r="F74" s="76"/>
      <c r="G74" s="73"/>
      <c r="H74" s="75"/>
      <c r="I74" s="73"/>
      <c r="J74" s="73"/>
      <c r="K74" s="15"/>
      <c r="L74" s="15"/>
    </row>
    <row r="75" spans="1:12" s="223" customFormat="1" x14ac:dyDescent="0.25">
      <c r="A75" s="217">
        <v>0.33333333333333331</v>
      </c>
      <c r="B75" s="222"/>
      <c r="C75" s="219" t="s">
        <v>296</v>
      </c>
      <c r="D75" s="224" t="s">
        <v>297</v>
      </c>
      <c r="E75" s="220">
        <v>260</v>
      </c>
      <c r="F75" s="227">
        <v>2</v>
      </c>
      <c r="G75" s="222" t="s">
        <v>18</v>
      </c>
      <c r="H75" s="220">
        <f t="shared" ref="H75" si="13">IF(G75="VND",E75*F75,$E$3*E75*F75)</f>
        <v>86840</v>
      </c>
      <c r="I75" s="222"/>
      <c r="J75" s="222"/>
    </row>
    <row r="76" spans="1:12" s="223" customFormat="1" x14ac:dyDescent="0.25">
      <c r="A76" s="224"/>
      <c r="B76" s="222"/>
      <c r="C76" s="219" t="s">
        <v>298</v>
      </c>
      <c r="D76" s="219" t="s">
        <v>299</v>
      </c>
      <c r="E76" s="220">
        <v>2400</v>
      </c>
      <c r="F76" s="227">
        <v>2</v>
      </c>
      <c r="G76" s="222" t="s">
        <v>18</v>
      </c>
      <c r="H76" s="220">
        <f t="shared" ref="H76:H80" si="14">IF(G76="VND",E76*F76,$E$3*E76*F76)</f>
        <v>801600</v>
      </c>
      <c r="I76" s="222"/>
      <c r="J76" s="222"/>
    </row>
    <row r="77" spans="1:12" s="223" customFormat="1" x14ac:dyDescent="0.25">
      <c r="A77" s="224"/>
      <c r="B77" s="222"/>
      <c r="C77" s="225" t="s">
        <v>300</v>
      </c>
      <c r="D77" s="219"/>
      <c r="E77" s="220">
        <v>500</v>
      </c>
      <c r="F77" s="227">
        <v>2</v>
      </c>
      <c r="G77" s="222" t="s">
        <v>18</v>
      </c>
      <c r="H77" s="220">
        <f t="shared" si="14"/>
        <v>167000</v>
      </c>
      <c r="I77" s="222"/>
      <c r="J77" s="222"/>
    </row>
    <row r="78" spans="1:12" s="223" customFormat="1" x14ac:dyDescent="0.25">
      <c r="A78" s="224"/>
      <c r="B78" s="222"/>
      <c r="C78" s="225" t="s">
        <v>301</v>
      </c>
      <c r="D78" s="219"/>
      <c r="E78" s="220">
        <v>2100</v>
      </c>
      <c r="F78" s="227">
        <v>2</v>
      </c>
      <c r="G78" s="222" t="s">
        <v>18</v>
      </c>
      <c r="H78" s="220">
        <f t="shared" si="14"/>
        <v>701400</v>
      </c>
      <c r="I78" s="222"/>
      <c r="J78" s="222"/>
    </row>
    <row r="79" spans="1:12" s="223" customFormat="1" x14ac:dyDescent="0.25">
      <c r="A79" s="224"/>
      <c r="B79" s="222"/>
      <c r="C79" s="225" t="s">
        <v>302</v>
      </c>
      <c r="D79" s="219"/>
      <c r="E79" s="220">
        <v>800</v>
      </c>
      <c r="F79" s="227">
        <v>2</v>
      </c>
      <c r="G79" s="222" t="s">
        <v>18</v>
      </c>
      <c r="H79" s="220">
        <f t="shared" si="14"/>
        <v>267200</v>
      </c>
      <c r="I79" s="222"/>
      <c r="J79" s="222"/>
    </row>
    <row r="80" spans="1:12" s="223" customFormat="1" x14ac:dyDescent="0.25">
      <c r="A80" s="224"/>
      <c r="B80" s="222"/>
      <c r="C80" s="219" t="s">
        <v>239</v>
      </c>
      <c r="D80" s="219"/>
      <c r="E80" s="220" t="e">
        <f>bigmeal</f>
        <v>#REF!</v>
      </c>
      <c r="F80" s="221">
        <v>2</v>
      </c>
      <c r="G80" s="222" t="s">
        <v>18</v>
      </c>
      <c r="H80" s="96" t="e">
        <f t="shared" si="14"/>
        <v>#REF!</v>
      </c>
      <c r="I80" s="222"/>
      <c r="J80" s="222"/>
    </row>
    <row r="81" spans="1:12" s="223" customFormat="1" x14ac:dyDescent="0.25">
      <c r="A81" s="224"/>
      <c r="B81" s="222"/>
      <c r="C81" s="219" t="s">
        <v>303</v>
      </c>
      <c r="D81" s="219"/>
      <c r="E81" s="220">
        <v>260</v>
      </c>
      <c r="F81" s="221">
        <v>2</v>
      </c>
      <c r="G81" s="222" t="s">
        <v>18</v>
      </c>
      <c r="H81" s="220">
        <f t="shared" ref="H81:H83" si="15">IF(G81="VND",E81*F81,$E$3*E81*F81)</f>
        <v>86840</v>
      </c>
      <c r="I81" s="222"/>
      <c r="J81" s="222"/>
    </row>
    <row r="82" spans="1:12" x14ac:dyDescent="0.25">
      <c r="A82" s="84"/>
      <c r="B82" s="85"/>
      <c r="C82" s="84" t="s">
        <v>73</v>
      </c>
      <c r="D82" s="84"/>
      <c r="E82" s="220">
        <v>5000</v>
      </c>
      <c r="F82" s="221">
        <v>2</v>
      </c>
      <c r="G82" s="222" t="s">
        <v>18</v>
      </c>
      <c r="H82" s="96">
        <f t="shared" si="15"/>
        <v>1670000</v>
      </c>
      <c r="I82" s="85" t="s">
        <v>249</v>
      </c>
      <c r="J82" s="85"/>
    </row>
    <row r="83" spans="1:12" x14ac:dyDescent="0.25">
      <c r="A83" s="84"/>
      <c r="B83" s="85"/>
      <c r="C83" s="84" t="s">
        <v>251</v>
      </c>
      <c r="D83" s="219" t="s">
        <v>252</v>
      </c>
      <c r="E83" s="220" t="e">
        <f>morning</f>
        <v>#REF!</v>
      </c>
      <c r="F83" s="227">
        <v>2</v>
      </c>
      <c r="G83" s="222" t="s">
        <v>18</v>
      </c>
      <c r="H83" s="220" t="e">
        <f t="shared" si="15"/>
        <v>#REF!</v>
      </c>
      <c r="I83" s="85"/>
      <c r="J83" s="85"/>
    </row>
    <row r="84" spans="1:12" x14ac:dyDescent="0.25">
      <c r="A84" s="84"/>
      <c r="B84" s="85"/>
      <c r="C84" s="84"/>
      <c r="D84" s="84"/>
      <c r="E84" s="96"/>
      <c r="F84" s="108"/>
      <c r="G84" s="222"/>
      <c r="H84" s="220"/>
      <c r="I84" s="85"/>
      <c r="J84" s="85"/>
    </row>
    <row r="85" spans="1:12" s="15" customFormat="1" x14ac:dyDescent="0.25">
      <c r="A85" s="186" t="str">
        <f>"Ngày 6: "&amp;"2/12/2025 - HAKUBA _ KYOTO"</f>
        <v>Ngày 6: 2/12/2025 - HAKUBA _ KYOTO</v>
      </c>
      <c r="B85" s="187"/>
      <c r="C85" s="187"/>
      <c r="D85" s="188"/>
      <c r="E85" s="189"/>
      <c r="F85" s="190"/>
      <c r="G85" s="187"/>
      <c r="H85" s="191"/>
      <c r="I85" s="187"/>
      <c r="J85" s="187"/>
    </row>
    <row r="86" spans="1:12" ht="31.5" x14ac:dyDescent="0.25">
      <c r="A86" s="157"/>
      <c r="B86" s="174"/>
      <c r="C86" s="164" t="s">
        <v>304</v>
      </c>
      <c r="D86" s="164" t="s">
        <v>305</v>
      </c>
      <c r="E86" s="96">
        <v>3500</v>
      </c>
      <c r="F86" s="108">
        <v>1</v>
      </c>
      <c r="G86" s="85" t="s">
        <v>18</v>
      </c>
      <c r="H86" s="220">
        <f t="shared" ref="H86" si="16">IF(G86="VND",E86*F86,$E$3*E86*F86)</f>
        <v>584500</v>
      </c>
      <c r="I86" s="96"/>
      <c r="J86" s="96"/>
    </row>
    <row r="87" spans="1:12" x14ac:dyDescent="0.25">
      <c r="A87" s="84"/>
      <c r="B87" s="109"/>
      <c r="C87" s="84" t="s">
        <v>306</v>
      </c>
      <c r="D87" s="84"/>
      <c r="E87" s="96">
        <v>2000</v>
      </c>
      <c r="F87" s="108">
        <v>2</v>
      </c>
      <c r="G87" s="85" t="s">
        <v>18</v>
      </c>
      <c r="H87" s="220">
        <f t="shared" ref="H87:H88" si="17">IF(G87="VND",E87*F87,$E$3*E87*F87)</f>
        <v>668000</v>
      </c>
      <c r="I87" s="96"/>
      <c r="J87" s="96"/>
    </row>
    <row r="88" spans="1:12" x14ac:dyDescent="0.25">
      <c r="A88" s="84"/>
      <c r="B88" s="109"/>
      <c r="C88" s="84" t="s">
        <v>239</v>
      </c>
      <c r="D88" s="84"/>
      <c r="E88" s="220" t="e">
        <f>bigmeal</f>
        <v>#REF!</v>
      </c>
      <c r="F88" s="221">
        <v>2</v>
      </c>
      <c r="G88" s="222" t="s">
        <v>18</v>
      </c>
      <c r="H88" s="96" t="e">
        <f t="shared" si="17"/>
        <v>#REF!</v>
      </c>
      <c r="I88" s="96"/>
      <c r="J88" s="96"/>
    </row>
    <row r="89" spans="1:12" x14ac:dyDescent="0.25">
      <c r="A89" s="84"/>
      <c r="B89" s="109"/>
      <c r="C89" s="84" t="s">
        <v>307</v>
      </c>
      <c r="D89" s="84"/>
      <c r="E89" s="96">
        <v>15000</v>
      </c>
      <c r="F89" s="108">
        <v>2</v>
      </c>
      <c r="G89" s="222" t="s">
        <v>18</v>
      </c>
      <c r="H89" s="96">
        <f t="shared" ref="H89:H92" si="18">IF(G89="VND",E89*F89,$E$3*E89*F89)</f>
        <v>5010000</v>
      </c>
      <c r="I89" s="96" t="s">
        <v>235</v>
      </c>
      <c r="J89" s="96"/>
    </row>
    <row r="90" spans="1:12" x14ac:dyDescent="0.25">
      <c r="A90" s="84"/>
      <c r="B90" s="109"/>
      <c r="C90" s="84" t="s">
        <v>73</v>
      </c>
      <c r="D90" s="84"/>
      <c r="E90" s="220" t="e">
        <f>bigmeal</f>
        <v>#REF!</v>
      </c>
      <c r="F90" s="221">
        <v>2</v>
      </c>
      <c r="G90" s="222" t="s">
        <v>18</v>
      </c>
      <c r="H90" s="96" t="e">
        <f t="shared" si="18"/>
        <v>#REF!</v>
      </c>
      <c r="I90" s="96"/>
      <c r="J90" s="96"/>
    </row>
    <row r="91" spans="1:12" x14ac:dyDescent="0.25">
      <c r="A91" s="84"/>
      <c r="B91" s="109"/>
      <c r="C91" s="84" t="s">
        <v>308</v>
      </c>
      <c r="D91" s="84"/>
      <c r="E91" s="220">
        <f>5300000/3</f>
        <v>1766666.6666666667</v>
      </c>
      <c r="F91" s="221">
        <v>3</v>
      </c>
      <c r="G91" s="222" t="s">
        <v>22</v>
      </c>
      <c r="H91" s="96">
        <f t="shared" si="18"/>
        <v>5300000</v>
      </c>
      <c r="I91" s="96" t="s">
        <v>242</v>
      </c>
      <c r="J91" s="96"/>
    </row>
    <row r="92" spans="1:12" x14ac:dyDescent="0.25">
      <c r="A92" s="84"/>
      <c r="B92" s="109"/>
      <c r="C92" s="84" t="s">
        <v>251</v>
      </c>
      <c r="D92" s="219" t="s">
        <v>252</v>
      </c>
      <c r="E92" s="220" t="e">
        <f>morning</f>
        <v>#REF!</v>
      </c>
      <c r="F92" s="227">
        <v>2</v>
      </c>
      <c r="G92" s="222" t="s">
        <v>18</v>
      </c>
      <c r="H92" s="220" t="e">
        <f t="shared" si="18"/>
        <v>#REF!</v>
      </c>
      <c r="I92" s="96"/>
      <c r="J92" s="96"/>
    </row>
    <row r="93" spans="1:12" x14ac:dyDescent="0.25">
      <c r="A93" s="84"/>
      <c r="B93" s="109"/>
      <c r="C93" s="84"/>
      <c r="D93" s="219"/>
      <c r="E93" s="220"/>
      <c r="F93" s="227"/>
      <c r="G93" s="222"/>
      <c r="H93" s="220"/>
      <c r="I93" s="96"/>
      <c r="J93" s="96"/>
    </row>
    <row r="94" spans="1:12" x14ac:dyDescent="0.25">
      <c r="A94" s="194" t="str">
        <f>"Ngày 7: "&amp;"3/12/2025 - ĐI NGẮM LÁ ĐỎ Ở ARMANASHI"</f>
        <v>Ngày 7: 3/12/2025 - ĐI NGẮM LÁ ĐỎ Ở ARMANASHI</v>
      </c>
      <c r="B94" s="195"/>
      <c r="C94" s="195"/>
      <c r="D94" s="74"/>
      <c r="E94" s="196"/>
      <c r="F94" s="76"/>
      <c r="G94" s="195"/>
      <c r="H94" s="75"/>
      <c r="I94" s="195"/>
      <c r="J94" s="195"/>
      <c r="K94" s="15"/>
      <c r="L94" s="15"/>
    </row>
    <row r="95" spans="1:12" x14ac:dyDescent="0.25">
      <c r="A95" s="84"/>
      <c r="B95" s="228"/>
      <c r="C95" s="229" t="s">
        <v>309</v>
      </c>
      <c r="D95" s="229"/>
      <c r="E95" s="220">
        <v>200</v>
      </c>
      <c r="F95" s="221">
        <v>2</v>
      </c>
      <c r="G95" s="222" t="s">
        <v>18</v>
      </c>
      <c r="H95" s="96">
        <f t="shared" ref="H95:H101" si="19">IF(G95="VND",E95*F95,$E$3*E95*F95)</f>
        <v>66800</v>
      </c>
      <c r="I95" s="85"/>
      <c r="J95" s="85"/>
    </row>
    <row r="96" spans="1:12" x14ac:dyDescent="0.25">
      <c r="A96" s="84"/>
      <c r="B96" s="228"/>
      <c r="C96" s="232" t="s">
        <v>310</v>
      </c>
      <c r="D96" s="229"/>
      <c r="E96" s="220">
        <v>2500</v>
      </c>
      <c r="F96" s="221">
        <v>1</v>
      </c>
      <c r="G96" s="222" t="s">
        <v>18</v>
      </c>
      <c r="H96" s="96">
        <f t="shared" si="19"/>
        <v>417500</v>
      </c>
      <c r="I96" s="85"/>
      <c r="J96" s="85"/>
    </row>
    <row r="97" spans="1:10" x14ac:dyDescent="0.25">
      <c r="A97" s="84"/>
      <c r="B97" s="228"/>
      <c r="C97" s="232" t="s">
        <v>311</v>
      </c>
      <c r="D97" s="229"/>
      <c r="E97" s="220"/>
      <c r="F97" s="221"/>
      <c r="G97" s="222"/>
      <c r="H97" s="96"/>
      <c r="I97" s="85"/>
      <c r="J97" s="85"/>
    </row>
    <row r="98" spans="1:10" x14ac:dyDescent="0.25">
      <c r="A98" s="84"/>
      <c r="B98" s="228"/>
      <c r="C98" s="232" t="s">
        <v>312</v>
      </c>
      <c r="D98" s="229"/>
      <c r="E98" s="220">
        <v>150000</v>
      </c>
      <c r="F98" s="221">
        <v>2</v>
      </c>
      <c r="G98" s="222" t="s">
        <v>22</v>
      </c>
      <c r="H98" s="96">
        <f t="shared" si="19"/>
        <v>300000</v>
      </c>
      <c r="I98" s="85"/>
      <c r="J98" s="85"/>
    </row>
    <row r="99" spans="1:10" x14ac:dyDescent="0.25">
      <c r="A99" s="84"/>
      <c r="B99" s="228"/>
      <c r="C99" s="229" t="s">
        <v>313</v>
      </c>
      <c r="D99" s="229"/>
      <c r="E99" s="220">
        <v>200</v>
      </c>
      <c r="F99" s="221">
        <v>2</v>
      </c>
      <c r="G99" s="222" t="s">
        <v>18</v>
      </c>
      <c r="H99" s="96">
        <f t="shared" si="19"/>
        <v>66800</v>
      </c>
      <c r="I99" s="85"/>
      <c r="J99" s="85"/>
    </row>
    <row r="100" spans="1:10" x14ac:dyDescent="0.25">
      <c r="A100" s="84"/>
      <c r="B100" s="109"/>
      <c r="C100" s="84" t="s">
        <v>239</v>
      </c>
      <c r="D100" s="84"/>
      <c r="E100" s="220">
        <v>1500</v>
      </c>
      <c r="F100" s="221">
        <v>2</v>
      </c>
      <c r="G100" s="222" t="s">
        <v>18</v>
      </c>
      <c r="H100" s="96">
        <f t="shared" si="19"/>
        <v>501000</v>
      </c>
      <c r="I100" s="96"/>
      <c r="J100" s="96"/>
    </row>
    <row r="101" spans="1:10" x14ac:dyDescent="0.25">
      <c r="A101" s="84"/>
      <c r="B101" s="109"/>
      <c r="C101" s="84" t="s">
        <v>73</v>
      </c>
      <c r="D101" s="84"/>
      <c r="E101" s="220">
        <v>5000</v>
      </c>
      <c r="F101" s="221">
        <v>2</v>
      </c>
      <c r="G101" s="222" t="s">
        <v>18</v>
      </c>
      <c r="H101" s="96">
        <f t="shared" si="19"/>
        <v>1670000</v>
      </c>
      <c r="I101" s="96" t="s">
        <v>249</v>
      </c>
      <c r="J101" s="96"/>
    </row>
    <row r="102" spans="1:10" x14ac:dyDescent="0.25">
      <c r="A102" s="84"/>
      <c r="B102" s="228"/>
      <c r="C102" s="229"/>
      <c r="D102" s="229"/>
      <c r="E102" s="220"/>
      <c r="F102" s="221"/>
      <c r="G102" s="222"/>
      <c r="H102" s="220"/>
      <c r="I102" s="85"/>
      <c r="J102" s="85"/>
    </row>
    <row r="103" spans="1:10" s="15" customFormat="1" x14ac:dyDescent="0.25">
      <c r="A103" s="197" t="str">
        <f>"Ngày 8: "&amp;"4/12/2025 - ĐI CHÙA KATSUOJI - CẦU NGUYỆN"</f>
        <v>Ngày 8: 4/12/2025 - ĐI CHÙA KATSUOJI - CẦU NGUYỆN</v>
      </c>
      <c r="B103" s="195"/>
      <c r="C103" s="195" t="s">
        <v>314</v>
      </c>
      <c r="D103" s="74"/>
      <c r="E103" s="196"/>
      <c r="F103" s="76"/>
      <c r="G103" s="195"/>
      <c r="H103" s="75"/>
      <c r="I103" s="195"/>
      <c r="J103" s="195"/>
    </row>
    <row r="104" spans="1:10" x14ac:dyDescent="0.25">
      <c r="A104" s="84"/>
      <c r="B104" s="109"/>
      <c r="C104" s="84" t="s">
        <v>239</v>
      </c>
      <c r="D104" s="84"/>
      <c r="E104" s="220">
        <v>1500</v>
      </c>
      <c r="F104" s="221">
        <v>2</v>
      </c>
      <c r="G104" s="222" t="s">
        <v>18</v>
      </c>
      <c r="H104" s="96">
        <f t="shared" ref="H104:H105" si="20">IF(G104="VND",E104*F104,$E$3*E104*F104)</f>
        <v>501000</v>
      </c>
      <c r="I104" s="96"/>
      <c r="J104" s="96"/>
    </row>
    <row r="105" spans="1:10" x14ac:dyDescent="0.25">
      <c r="A105" s="84"/>
      <c r="B105" s="109"/>
      <c r="C105" s="84" t="s">
        <v>73</v>
      </c>
      <c r="D105" s="84"/>
      <c r="E105" s="220">
        <v>5000</v>
      </c>
      <c r="F105" s="221">
        <v>2</v>
      </c>
      <c r="G105" s="222" t="s">
        <v>18</v>
      </c>
      <c r="H105" s="96">
        <f t="shared" si="20"/>
        <v>1670000</v>
      </c>
      <c r="I105" s="96" t="s">
        <v>249</v>
      </c>
      <c r="J105" s="96"/>
    </row>
    <row r="106" spans="1:10" x14ac:dyDescent="0.25">
      <c r="A106" s="84"/>
      <c r="B106" s="109"/>
      <c r="C106" s="84" t="s">
        <v>315</v>
      </c>
      <c r="D106" s="84"/>
      <c r="E106" s="220"/>
      <c r="F106" s="221"/>
      <c r="G106" s="222"/>
      <c r="H106" s="96"/>
      <c r="I106" s="96"/>
      <c r="J106" s="96"/>
    </row>
    <row r="107" spans="1:10" x14ac:dyDescent="0.25">
      <c r="A107" s="84"/>
      <c r="B107" s="109"/>
      <c r="C107" s="84" t="s">
        <v>316</v>
      </c>
      <c r="D107" s="84"/>
      <c r="E107" s="220">
        <v>6000</v>
      </c>
      <c r="F107" s="221">
        <v>2</v>
      </c>
      <c r="G107" s="222" t="s">
        <v>18</v>
      </c>
      <c r="H107" s="96">
        <f>IF(G107="VND",E107*F107,$E$3*E107*F107)</f>
        <v>2004000</v>
      </c>
      <c r="I107" s="96"/>
      <c r="J107" s="96"/>
    </row>
    <row r="108" spans="1:10" x14ac:dyDescent="0.25">
      <c r="A108" s="84"/>
      <c r="B108" s="109"/>
      <c r="C108" s="84"/>
      <c r="D108" s="84"/>
      <c r="E108" s="220"/>
      <c r="F108" s="221"/>
      <c r="G108" s="222"/>
      <c r="H108" s="96"/>
      <c r="I108" s="96"/>
      <c r="J108" s="96"/>
    </row>
    <row r="109" spans="1:10" x14ac:dyDescent="0.25">
      <c r="A109" s="84"/>
      <c r="B109" s="109"/>
      <c r="C109" s="84"/>
      <c r="D109" s="84"/>
      <c r="E109" s="220"/>
      <c r="F109" s="221"/>
      <c r="G109" s="222"/>
      <c r="H109" s="96"/>
      <c r="I109" s="96"/>
      <c r="J109" s="96"/>
    </row>
    <row r="110" spans="1:10" s="15" customFormat="1" x14ac:dyDescent="0.25">
      <c r="A110" s="197" t="str">
        <f>"Ngày 9: "&amp;"5/12/2025 - ĐI VỀ HÀ NỘI"</f>
        <v>Ngày 9: 5/12/2025 - ĐI VỀ HÀ NỘI</v>
      </c>
      <c r="B110" s="195"/>
      <c r="C110" s="195"/>
      <c r="D110" s="74"/>
      <c r="E110" s="196"/>
      <c r="F110" s="76"/>
      <c r="G110" s="195"/>
      <c r="H110" s="75"/>
      <c r="I110" s="195"/>
      <c r="J110" s="195"/>
    </row>
    <row r="111" spans="1:10" x14ac:dyDescent="0.25">
      <c r="A111" s="84"/>
      <c r="B111" s="85"/>
      <c r="C111" s="84" t="s">
        <v>317</v>
      </c>
      <c r="D111" s="84" t="s">
        <v>318</v>
      </c>
      <c r="E111" s="96"/>
      <c r="F111" s="108"/>
      <c r="G111" s="85"/>
      <c r="H111" s="96"/>
      <c r="I111" s="85"/>
      <c r="J111" s="85"/>
    </row>
    <row r="112" spans="1:10" x14ac:dyDescent="0.25">
      <c r="A112" s="84"/>
      <c r="B112" s="85"/>
      <c r="C112" s="84" t="s">
        <v>239</v>
      </c>
      <c r="D112" s="84"/>
      <c r="E112" s="220" t="e">
        <f>bigmeal</f>
        <v>#REF!</v>
      </c>
      <c r="F112" s="221">
        <v>2</v>
      </c>
      <c r="G112" s="222" t="s">
        <v>18</v>
      </c>
      <c r="H112" s="96" t="e">
        <f t="shared" ref="H112" si="21">IF(G112="VND",E112*F112,$E$3*E112*F112)</f>
        <v>#REF!</v>
      </c>
      <c r="I112" s="85"/>
      <c r="J112" s="85"/>
    </row>
    <row r="113" spans="1:10" s="106" customFormat="1" x14ac:dyDescent="0.25">
      <c r="A113" s="102"/>
      <c r="B113" s="176">
        <v>0.5625</v>
      </c>
      <c r="C113" s="172" t="s">
        <v>211</v>
      </c>
      <c r="D113" s="102" t="s">
        <v>212</v>
      </c>
      <c r="E113" s="173">
        <v>2290</v>
      </c>
      <c r="F113" s="104">
        <v>2</v>
      </c>
      <c r="G113" s="105" t="s">
        <v>18</v>
      </c>
      <c r="H113" s="103">
        <f t="shared" ref="H113" si="22">IF(G113="VND",E113*F113,$E$3*E113*F113)</f>
        <v>764860</v>
      </c>
      <c r="I113" s="103"/>
      <c r="J113" s="103"/>
    </row>
    <row r="114" spans="1:10" x14ac:dyDescent="0.25">
      <c r="A114" s="114"/>
      <c r="B114" s="109"/>
      <c r="C114" s="84"/>
      <c r="D114" s="84"/>
      <c r="E114" s="201"/>
      <c r="F114" s="198"/>
      <c r="G114" s="199"/>
      <c r="H114" s="96"/>
      <c r="I114" s="200"/>
      <c r="J114" s="200"/>
    </row>
    <row r="115" spans="1:10" x14ac:dyDescent="0.25">
      <c r="A115" s="114"/>
      <c r="B115" s="109"/>
      <c r="C115" s="84"/>
      <c r="D115" s="84"/>
      <c r="E115" s="201"/>
      <c r="F115" s="198"/>
      <c r="G115" s="199"/>
      <c r="H115" s="96"/>
      <c r="I115" s="200"/>
      <c r="J115" s="200"/>
    </row>
    <row r="116" spans="1:10" x14ac:dyDescent="0.25">
      <c r="A116" s="114"/>
      <c r="B116" s="109"/>
      <c r="C116" s="84"/>
      <c r="D116" s="84"/>
      <c r="E116" s="201"/>
      <c r="F116" s="198"/>
      <c r="G116" s="199"/>
      <c r="H116" s="96"/>
      <c r="I116" s="200"/>
      <c r="J116" s="200"/>
    </row>
    <row r="117" spans="1:10" x14ac:dyDescent="0.25">
      <c r="A117" s="199"/>
      <c r="B117" s="199"/>
      <c r="C117" s="84"/>
      <c r="D117" s="84"/>
      <c r="E117" s="201"/>
      <c r="F117" s="198"/>
      <c r="G117" s="199"/>
      <c r="H117" s="201"/>
      <c r="I117" s="199"/>
      <c r="J117" s="199"/>
    </row>
    <row r="118" spans="1:10" x14ac:dyDescent="0.25">
      <c r="B118" s="199"/>
      <c r="C118" s="84"/>
      <c r="D118" s="84"/>
      <c r="E118" s="169" t="s">
        <v>215</v>
      </c>
      <c r="H118" s="169" t="e">
        <f>SUM(H5:H117)</f>
        <v>#REF!</v>
      </c>
      <c r="I118" s="204">
        <f>SUMIF($I$3:$I$105,"&gt;0",$H$3:$H$105)</f>
        <v>4134000</v>
      </c>
      <c r="J118" s="204"/>
    </row>
    <row r="119" spans="1:10" x14ac:dyDescent="0.25">
      <c r="B119" s="199"/>
      <c r="C119" s="84"/>
      <c r="D119" s="84"/>
      <c r="E119" s="205" t="s">
        <v>0</v>
      </c>
      <c r="F119" s="206"/>
      <c r="G119" s="130"/>
      <c r="H119" s="205" t="e">
        <f>H118/2</f>
        <v>#REF!</v>
      </c>
      <c r="I119" s="207">
        <f>I118/3</f>
        <v>1378000</v>
      </c>
      <c r="J119" s="207"/>
    </row>
    <row r="120" spans="1:10" x14ac:dyDescent="0.25">
      <c r="E120" s="169" t="s">
        <v>319</v>
      </c>
      <c r="H120" s="169">
        <f>SUMIF($I$3:$I$117,"KS",$H$3:$H$117)/2</f>
        <v>7450000</v>
      </c>
      <c r="I120" s="234">
        <f>H120/9</f>
        <v>827777.77777777775</v>
      </c>
    </row>
    <row r="121" spans="1:10" x14ac:dyDescent="0.25">
      <c r="E121" s="169" t="s">
        <v>320</v>
      </c>
      <c r="H121" s="169">
        <f>SUMIF($I$3:$I$117,"DC",$H$3:$H$117)/2</f>
        <v>15755180</v>
      </c>
    </row>
    <row r="122" spans="1:10" x14ac:dyDescent="0.25">
      <c r="E122" s="233" t="s">
        <v>321</v>
      </c>
      <c r="H122" s="169">
        <f>H121-H13/2</f>
        <v>7438180</v>
      </c>
    </row>
    <row r="123" spans="1:10" x14ac:dyDescent="0.25">
      <c r="E123" s="169" t="s">
        <v>322</v>
      </c>
      <c r="H123" s="169">
        <f>SUMIF($I$3:$I$117,"Ăn",$H$3:$H$117)/2</f>
        <v>4175000</v>
      </c>
    </row>
  </sheetData>
  <mergeCells count="3">
    <mergeCell ref="A2:XFD2"/>
    <mergeCell ref="C8:D8"/>
    <mergeCell ref="A11:B11"/>
  </mergeCells>
  <hyperlinks>
    <hyperlink ref="C60" r:id="rId1" xr:uid="{F000F2D5-A256-C446-AFCB-EC1D7467091A}"/>
    <hyperlink ref="C17" r:id="rId2" xr:uid="{3A585BD2-D95B-C24C-87E4-48A66EAFD68F}"/>
  </hyperlinks>
  <pageMargins left="0.25" right="0.25" top="0.75" bottom="0.75" header="0.3" footer="0.3"/>
  <pageSetup paperSize="9" scale="99" fitToHeight="0" orientation="landscape" r:id="rId3"/>
  <rowBreaks count="6" manualBreakCount="6">
    <brk id="31" max="16383" man="1"/>
    <brk id="44" max="16383" man="1"/>
    <brk id="62" max="16383" man="1"/>
    <brk id="73" max="16383" man="1"/>
    <brk id="84" max="16383" man="1"/>
    <brk id="93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AE6AA-F95B-414F-BFFB-1F3B4C6CD8A7}">
  <sheetPr>
    <tabColor rgb="FFFF0000"/>
    <pageSetUpPr fitToPage="1"/>
  </sheetPr>
  <dimension ref="A1:L166"/>
  <sheetViews>
    <sheetView showGridLines="0" topLeftCell="A78" zoomScaleNormal="100" workbookViewId="0">
      <selection activeCell="D101" sqref="D101"/>
    </sheetView>
  </sheetViews>
  <sheetFormatPr defaultColWidth="0" defaultRowHeight="15.75" x14ac:dyDescent="0.25"/>
  <cols>
    <col min="1" max="1" width="9" style="202" customWidth="1"/>
    <col min="2" max="2" width="8.42578125" style="91" customWidth="1"/>
    <col min="3" max="3" width="48.28515625" style="208" customWidth="1"/>
    <col min="4" max="4" width="33.85546875" style="208" customWidth="1"/>
    <col min="5" max="5" width="14.28515625" style="169" bestFit="1" customWidth="1"/>
    <col min="6" max="6" width="5.140625" style="203" bestFit="1" customWidth="1"/>
    <col min="7" max="7" width="8.7109375" style="91" bestFit="1" customWidth="1"/>
    <col min="8" max="8" width="16" style="169" bestFit="1" customWidth="1"/>
    <col min="9" max="9" width="12.140625" style="91" hidden="1" customWidth="1"/>
    <col min="10" max="10" width="19.28515625" style="91" hidden="1" customWidth="1"/>
    <col min="11" max="16384" width="0" style="91" hidden="1"/>
  </cols>
  <sheetData>
    <row r="1" spans="1:12" s="83" customFormat="1" x14ac:dyDescent="0.25">
      <c r="A1" s="77" t="s">
        <v>216</v>
      </c>
      <c r="B1" s="78" t="s">
        <v>217</v>
      </c>
      <c r="C1" s="79" t="s">
        <v>218</v>
      </c>
      <c r="D1" s="79" t="s">
        <v>219</v>
      </c>
      <c r="E1" s="80" t="s">
        <v>220</v>
      </c>
      <c r="F1" s="81" t="s">
        <v>221</v>
      </c>
      <c r="G1" s="82" t="s">
        <v>222</v>
      </c>
      <c r="H1" s="80" t="s">
        <v>223</v>
      </c>
      <c r="I1" s="82" t="s">
        <v>224</v>
      </c>
      <c r="J1" s="78" t="s">
        <v>225</v>
      </c>
    </row>
    <row r="2" spans="1:12" s="258" customFormat="1" x14ac:dyDescent="0.25">
      <c r="A2" s="258" t="s">
        <v>226</v>
      </c>
    </row>
    <row r="3" spans="1:12" x14ac:dyDescent="0.25">
      <c r="A3" s="84"/>
      <c r="B3" s="85"/>
      <c r="C3" s="86" t="s">
        <v>2</v>
      </c>
      <c r="D3" s="87"/>
      <c r="E3" s="88">
        <v>180</v>
      </c>
      <c r="F3" s="89"/>
      <c r="G3" s="90" t="s">
        <v>18</v>
      </c>
      <c r="H3" s="88"/>
      <c r="I3" s="90"/>
      <c r="J3" s="90"/>
    </row>
    <row r="4" spans="1:12" x14ac:dyDescent="0.25">
      <c r="A4" s="92"/>
      <c r="B4" s="85"/>
      <c r="C4" s="93" t="s">
        <v>19</v>
      </c>
      <c r="D4" s="84"/>
      <c r="E4" s="94"/>
      <c r="F4" s="95"/>
      <c r="G4" s="85"/>
      <c r="H4" s="96"/>
      <c r="I4" s="85"/>
      <c r="J4" s="85"/>
    </row>
    <row r="5" spans="1:12" x14ac:dyDescent="0.25">
      <c r="A5" s="84"/>
      <c r="B5" s="85"/>
      <c r="C5" s="84" t="s">
        <v>323</v>
      </c>
      <c r="D5" s="97" t="s">
        <v>21</v>
      </c>
      <c r="E5" s="96">
        <v>615000</v>
      </c>
      <c r="F5" s="95">
        <v>3</v>
      </c>
      <c r="G5" s="85" t="s">
        <v>22</v>
      </c>
      <c r="H5" s="96">
        <f>E5*F5</f>
        <v>1845000</v>
      </c>
      <c r="I5" s="96"/>
      <c r="J5" s="96" t="s">
        <v>324</v>
      </c>
      <c r="L5" s="98" t="s">
        <v>21</v>
      </c>
    </row>
    <row r="6" spans="1:12" x14ac:dyDescent="0.25">
      <c r="A6" s="84"/>
      <c r="B6" s="85"/>
      <c r="C6" s="84" t="s">
        <v>6</v>
      </c>
      <c r="D6" s="84"/>
      <c r="E6" s="96">
        <v>1300000</v>
      </c>
      <c r="F6" s="95">
        <v>3</v>
      </c>
      <c r="G6" s="85" t="s">
        <v>22</v>
      </c>
      <c r="H6" s="96">
        <f>E6*F6</f>
        <v>3900000</v>
      </c>
      <c r="I6" s="96">
        <v>1</v>
      </c>
      <c r="J6" s="96" t="s">
        <v>324</v>
      </c>
    </row>
    <row r="7" spans="1:12" x14ac:dyDescent="0.25">
      <c r="A7" s="84"/>
      <c r="B7" s="85"/>
      <c r="C7" s="84" t="s">
        <v>23</v>
      </c>
      <c r="D7" s="84"/>
      <c r="E7" s="96">
        <f>350000/2</f>
        <v>175000</v>
      </c>
      <c r="F7" s="95">
        <v>3</v>
      </c>
      <c r="G7" s="85" t="s">
        <v>22</v>
      </c>
      <c r="H7" s="96">
        <f>E7*F7</f>
        <v>525000</v>
      </c>
      <c r="I7" s="96">
        <v>1</v>
      </c>
      <c r="J7" s="96" t="s">
        <v>324</v>
      </c>
    </row>
    <row r="8" spans="1:12" x14ac:dyDescent="0.25">
      <c r="A8" s="84"/>
      <c r="B8" s="85"/>
      <c r="C8" s="84" t="s">
        <v>325</v>
      </c>
      <c r="D8" s="84"/>
      <c r="E8" s="96">
        <v>301000</v>
      </c>
      <c r="F8" s="95">
        <v>3</v>
      </c>
      <c r="G8" s="85" t="s">
        <v>22</v>
      </c>
      <c r="H8" s="96">
        <f>E8*F8</f>
        <v>903000</v>
      </c>
      <c r="I8" s="96"/>
      <c r="J8" s="96"/>
    </row>
    <row r="9" spans="1:12" x14ac:dyDescent="0.25">
      <c r="A9" s="93"/>
      <c r="B9" s="85"/>
      <c r="C9" s="93" t="s">
        <v>229</v>
      </c>
      <c r="D9" s="84"/>
      <c r="E9" s="96"/>
      <c r="F9" s="95"/>
      <c r="G9" s="85"/>
      <c r="H9" s="96"/>
      <c r="I9" s="96"/>
      <c r="J9" s="96"/>
    </row>
    <row r="10" spans="1:12" x14ac:dyDescent="0.25">
      <c r="A10" s="84"/>
      <c r="B10" s="85"/>
      <c r="C10" s="259" t="s">
        <v>25</v>
      </c>
      <c r="D10" s="259"/>
      <c r="E10" s="96">
        <v>3000</v>
      </c>
      <c r="F10" s="95"/>
      <c r="G10" s="85"/>
      <c r="H10" s="96"/>
      <c r="I10" s="96"/>
      <c r="J10" s="96"/>
    </row>
    <row r="11" spans="1:12" x14ac:dyDescent="0.25">
      <c r="A11" s="84"/>
      <c r="B11" s="85"/>
      <c r="C11" s="84" t="s">
        <v>26</v>
      </c>
      <c r="D11" s="84"/>
      <c r="E11" s="96">
        <v>1500</v>
      </c>
      <c r="F11" s="95"/>
      <c r="G11" s="85"/>
      <c r="H11" s="96"/>
      <c r="I11" s="85"/>
      <c r="J11" s="85"/>
    </row>
    <row r="12" spans="1:12" x14ac:dyDescent="0.25">
      <c r="A12" s="84"/>
      <c r="B12" s="85"/>
      <c r="C12" s="84" t="s">
        <v>27</v>
      </c>
      <c r="D12" s="84"/>
      <c r="E12" s="96">
        <v>1500</v>
      </c>
      <c r="F12" s="95"/>
      <c r="G12" s="85"/>
      <c r="H12" s="96"/>
      <c r="I12" s="85"/>
      <c r="J12" s="85"/>
    </row>
    <row r="13" spans="1:12" x14ac:dyDescent="0.25">
      <c r="A13" s="259" t="s">
        <v>233</v>
      </c>
      <c r="B13" s="259"/>
      <c r="C13" s="99">
        <v>13</v>
      </c>
      <c r="D13" s="84"/>
      <c r="E13" s="96"/>
      <c r="F13" s="95"/>
      <c r="G13" s="85"/>
      <c r="H13" s="96"/>
      <c r="I13" s="85"/>
      <c r="J13" s="85"/>
    </row>
    <row r="14" spans="1:12" s="14" customFormat="1" x14ac:dyDescent="0.25">
      <c r="A14" s="72" t="str">
        <f>"Ngày 1: "&amp;C13&amp;"/6/2025 - Thứ 6 - XUẤT PHÁT TỪ HÀ NỘI"</f>
        <v>Ngày 1: 13/6/2025 - Thứ 6 - XUẤT PHÁT TỪ HÀ NỘI</v>
      </c>
      <c r="B14" s="73"/>
      <c r="C14" s="74"/>
      <c r="D14" s="74"/>
      <c r="E14" s="75"/>
      <c r="F14" s="76"/>
      <c r="G14" s="73"/>
      <c r="H14" s="75"/>
      <c r="I14" s="73"/>
      <c r="J14" s="73"/>
    </row>
    <row r="15" spans="1:12" s="106" customFormat="1" x14ac:dyDescent="0.25">
      <c r="A15" s="100"/>
      <c r="B15" s="101">
        <v>0.24652777777777779</v>
      </c>
      <c r="C15" s="102" t="s">
        <v>29</v>
      </c>
      <c r="D15" s="102"/>
      <c r="E15" s="103"/>
      <c r="F15" s="104"/>
      <c r="G15" s="105"/>
      <c r="H15" s="103"/>
      <c r="I15" s="105"/>
      <c r="J15" s="105"/>
    </row>
    <row r="16" spans="1:12" x14ac:dyDescent="0.25">
      <c r="A16" s="84"/>
      <c r="B16" s="85"/>
      <c r="C16" s="107" t="s">
        <v>30</v>
      </c>
      <c r="D16" s="107"/>
      <c r="E16" s="96">
        <v>300000</v>
      </c>
      <c r="F16" s="108">
        <v>1</v>
      </c>
      <c r="G16" s="85" t="s">
        <v>22</v>
      </c>
      <c r="H16" s="96">
        <f>E16*F16</f>
        <v>300000</v>
      </c>
      <c r="I16" s="96"/>
      <c r="J16" s="96"/>
    </row>
    <row r="17" spans="1:12" x14ac:dyDescent="0.25">
      <c r="A17" s="84"/>
      <c r="B17" s="85"/>
      <c r="C17" s="107" t="s">
        <v>31</v>
      </c>
      <c r="D17" s="107"/>
      <c r="E17" s="96">
        <f>(11242000)/3</f>
        <v>3747333.3333333335</v>
      </c>
      <c r="F17" s="108">
        <v>3</v>
      </c>
      <c r="G17" s="85" t="s">
        <v>22</v>
      </c>
      <c r="H17" s="96">
        <f>IF(G17="VND",E17*F17,$E$3*E17*F17)</f>
        <v>11242000</v>
      </c>
      <c r="I17" s="96">
        <v>1</v>
      </c>
      <c r="J17" s="96" t="s">
        <v>326</v>
      </c>
    </row>
    <row r="18" spans="1:12" x14ac:dyDescent="0.25">
      <c r="A18" s="84"/>
      <c r="B18" s="85"/>
      <c r="C18" s="107" t="s">
        <v>32</v>
      </c>
      <c r="D18" s="107"/>
      <c r="E18" s="96"/>
      <c r="F18" s="108"/>
      <c r="G18" s="85"/>
      <c r="H18" s="96"/>
      <c r="I18" s="85"/>
      <c r="J18" s="85"/>
    </row>
    <row r="19" spans="1:12" x14ac:dyDescent="0.25">
      <c r="A19" s="84"/>
      <c r="B19" s="109">
        <v>0.64583333333333337</v>
      </c>
      <c r="C19" s="84" t="s">
        <v>33</v>
      </c>
      <c r="D19" s="86" t="s">
        <v>327</v>
      </c>
      <c r="E19" s="96"/>
      <c r="F19" s="108"/>
      <c r="G19" s="85"/>
      <c r="H19" s="96"/>
      <c r="I19" s="85"/>
      <c r="J19" s="85"/>
    </row>
    <row r="20" spans="1:12" s="106" customFormat="1" x14ac:dyDescent="0.25">
      <c r="A20" s="100">
        <v>0.64583333333333337</v>
      </c>
      <c r="B20" s="101">
        <v>0.70833333333333337</v>
      </c>
      <c r="C20" s="110" t="s">
        <v>328</v>
      </c>
      <c r="D20" s="111"/>
      <c r="E20" s="112">
        <f>4168000/3</f>
        <v>1389333.3333333333</v>
      </c>
      <c r="F20" s="113">
        <v>3</v>
      </c>
      <c r="G20" s="105" t="s">
        <v>22</v>
      </c>
      <c r="H20" s="103">
        <f>IF(G20="VND",E20*F20,$E$3*E20*F20)</f>
        <v>4168000</v>
      </c>
      <c r="I20" s="103">
        <v>1</v>
      </c>
      <c r="J20" s="103" t="s">
        <v>326</v>
      </c>
    </row>
    <row r="21" spans="1:12" x14ac:dyDescent="0.25">
      <c r="A21" s="84"/>
      <c r="B21" s="85"/>
      <c r="C21" s="107" t="s">
        <v>36</v>
      </c>
      <c r="D21" s="84"/>
      <c r="E21" s="96"/>
      <c r="F21" s="108"/>
      <c r="G21" s="85"/>
      <c r="H21" s="96"/>
      <c r="I21" s="85"/>
      <c r="J21" s="85"/>
    </row>
    <row r="22" spans="1:12" x14ac:dyDescent="0.25">
      <c r="A22" s="84"/>
      <c r="B22" s="85"/>
      <c r="C22" s="84" t="s">
        <v>329</v>
      </c>
      <c r="D22" s="84"/>
      <c r="E22" s="96"/>
      <c r="F22" s="108"/>
      <c r="G22" s="85"/>
      <c r="H22" s="96"/>
      <c r="I22" s="85"/>
      <c r="J22" s="85"/>
    </row>
    <row r="23" spans="1:12" ht="23.25" customHeight="1" x14ac:dyDescent="0.25">
      <c r="A23" s="84"/>
      <c r="B23" s="85"/>
      <c r="C23" s="107" t="s">
        <v>330</v>
      </c>
      <c r="D23" s="84" t="s">
        <v>331</v>
      </c>
      <c r="E23" s="96">
        <v>2730</v>
      </c>
      <c r="F23" s="108">
        <v>3</v>
      </c>
      <c r="G23" s="85" t="s">
        <v>18</v>
      </c>
      <c r="H23" s="96">
        <f>IF(G23="VND",E23*F23,$E$3*E23*F23)</f>
        <v>1474200</v>
      </c>
      <c r="I23" s="96"/>
      <c r="J23" s="96"/>
    </row>
    <row r="24" spans="1:12" s="106" customFormat="1" x14ac:dyDescent="0.25">
      <c r="A24" s="100">
        <v>0.72916666666666663</v>
      </c>
      <c r="B24" s="101">
        <v>0.875</v>
      </c>
      <c r="C24" s="110" t="s">
        <v>332</v>
      </c>
      <c r="D24" s="102"/>
      <c r="E24" s="103"/>
      <c r="F24" s="104"/>
      <c r="G24" s="105"/>
      <c r="H24" s="103"/>
      <c r="I24" s="103"/>
      <c r="J24" s="103"/>
    </row>
    <row r="25" spans="1:12" x14ac:dyDescent="0.25">
      <c r="A25" s="114"/>
      <c r="B25" s="109"/>
      <c r="C25" s="107" t="s">
        <v>333</v>
      </c>
      <c r="D25" s="84" t="s">
        <v>334</v>
      </c>
      <c r="E25" s="96">
        <v>180</v>
      </c>
      <c r="F25" s="108">
        <v>3</v>
      </c>
      <c r="G25" s="85" t="s">
        <v>18</v>
      </c>
      <c r="H25" s="96">
        <f t="shared" ref="H25" si="0">IF(G25="VND",E25*F25,$E$3*E25*F25)</f>
        <v>97200</v>
      </c>
      <c r="I25" s="96"/>
      <c r="J25" s="96"/>
    </row>
    <row r="26" spans="1:12" ht="47.25" x14ac:dyDescent="0.25">
      <c r="A26" s="84"/>
      <c r="B26" s="109"/>
      <c r="C26" s="107" t="s">
        <v>42</v>
      </c>
      <c r="D26" s="115" t="s">
        <v>335</v>
      </c>
      <c r="E26" s="96">
        <f>(1000+600)*1.1</f>
        <v>1760.0000000000002</v>
      </c>
      <c r="F26" s="108">
        <v>3</v>
      </c>
      <c r="G26" s="85" t="s">
        <v>18</v>
      </c>
      <c r="H26" s="96">
        <f>IF(G26="VND",E26*F26,$E$3*E26*F26)</f>
        <v>950400.00000000023</v>
      </c>
      <c r="I26" s="96"/>
      <c r="J26" s="96"/>
    </row>
    <row r="27" spans="1:12" x14ac:dyDescent="0.25">
      <c r="A27" s="84"/>
      <c r="B27" s="109"/>
      <c r="C27" s="107" t="s">
        <v>255</v>
      </c>
      <c r="D27" s="116"/>
      <c r="E27" s="96"/>
      <c r="F27" s="108"/>
      <c r="G27" s="85"/>
      <c r="H27" s="96"/>
      <c r="I27" s="96"/>
      <c r="J27" s="96"/>
    </row>
    <row r="28" spans="1:12" x14ac:dyDescent="0.25">
      <c r="A28" s="84"/>
      <c r="B28" s="85"/>
      <c r="C28" s="107" t="s">
        <v>256</v>
      </c>
      <c r="D28" s="84"/>
      <c r="E28" s="96"/>
      <c r="F28" s="108"/>
      <c r="G28" s="85"/>
      <c r="H28" s="96"/>
      <c r="I28" s="85"/>
      <c r="J28" s="85"/>
    </row>
    <row r="29" spans="1:12" x14ac:dyDescent="0.25">
      <c r="A29" s="84"/>
      <c r="B29" s="85"/>
      <c r="C29" s="107" t="s">
        <v>257</v>
      </c>
      <c r="D29" s="84"/>
      <c r="E29" s="96"/>
      <c r="F29" s="108"/>
      <c r="G29" s="85"/>
      <c r="H29" s="96"/>
      <c r="I29" s="85"/>
      <c r="J29" s="85"/>
    </row>
    <row r="30" spans="1:12" s="106" customFormat="1" x14ac:dyDescent="0.25">
      <c r="A30" s="100">
        <v>0.875</v>
      </c>
      <c r="B30" s="101">
        <v>0.89583333333333337</v>
      </c>
      <c r="C30" s="117" t="s">
        <v>336</v>
      </c>
      <c r="D30" s="102"/>
      <c r="E30" s="103">
        <v>220</v>
      </c>
      <c r="F30" s="104">
        <v>3</v>
      </c>
      <c r="G30" s="105" t="s">
        <v>18</v>
      </c>
      <c r="H30" s="103">
        <f>IF(G30="VND",E30*F30,$E$3*E30*F30)</f>
        <v>118800</v>
      </c>
      <c r="I30" s="103">
        <f>23+36</f>
        <v>59</v>
      </c>
      <c r="J30" s="103"/>
    </row>
    <row r="31" spans="1:12" x14ac:dyDescent="0.25">
      <c r="A31" s="118">
        <v>0.91666666666666663</v>
      </c>
      <c r="B31" s="119"/>
      <c r="C31" s="120" t="s">
        <v>77</v>
      </c>
      <c r="D31" s="121"/>
      <c r="E31" s="122">
        <v>180</v>
      </c>
      <c r="F31" s="123">
        <v>3</v>
      </c>
      <c r="G31" s="124" t="s">
        <v>18</v>
      </c>
      <c r="H31" s="122">
        <f>IF(G31="VND",E31*F31,$E$3*E31*F31)</f>
        <v>97200</v>
      </c>
      <c r="I31" s="96"/>
      <c r="J31" s="96"/>
    </row>
    <row r="32" spans="1:12" s="15" customFormat="1" x14ac:dyDescent="0.25">
      <c r="A32" s="72" t="str">
        <f>"Ngày 2: "&amp;C13+1&amp;"/6/2025 - Thứ 7 - SENSOJI SHIBUYA - FUJI MUSEUM - SHIBUYA"</f>
        <v>Ngày 2: 14/6/2025 - Thứ 7 - SENSOJI SHIBUYA - FUJI MUSEUM - SHIBUYA</v>
      </c>
      <c r="B32" s="73"/>
      <c r="C32" s="74"/>
      <c r="D32" s="74"/>
      <c r="E32" s="75"/>
      <c r="F32" s="76"/>
      <c r="G32" s="73"/>
      <c r="H32" s="75"/>
      <c r="I32" s="73"/>
      <c r="J32" s="73"/>
      <c r="K32" s="14"/>
      <c r="L32" s="14"/>
    </row>
    <row r="33" spans="1:12" s="106" customFormat="1" x14ac:dyDescent="0.25">
      <c r="A33" s="92"/>
      <c r="B33" s="101">
        <v>0.27083333333333331</v>
      </c>
      <c r="C33" s="102" t="s">
        <v>337</v>
      </c>
      <c r="D33" s="125"/>
      <c r="E33" s="103">
        <v>210</v>
      </c>
      <c r="F33" s="104">
        <v>3</v>
      </c>
      <c r="G33" s="105" t="s">
        <v>18</v>
      </c>
      <c r="H33" s="103">
        <f>IF(G33="VND",E33*F33,$E$3*E33*F33)</f>
        <v>113400</v>
      </c>
      <c r="I33" s="103"/>
      <c r="J33" s="103"/>
      <c r="K33" s="126"/>
      <c r="L33" s="126"/>
    </row>
    <row r="34" spans="1:12" x14ac:dyDescent="0.25">
      <c r="A34" s="114"/>
      <c r="B34" s="127"/>
      <c r="C34" s="261" t="s">
        <v>338</v>
      </c>
      <c r="D34" s="261"/>
      <c r="E34" s="128"/>
      <c r="F34" s="129"/>
      <c r="G34" s="127"/>
      <c r="H34" s="128"/>
      <c r="I34" s="127"/>
      <c r="J34" s="127"/>
      <c r="K34" s="130"/>
      <c r="L34" s="130"/>
    </row>
    <row r="35" spans="1:12" x14ac:dyDescent="0.25">
      <c r="A35" s="114"/>
      <c r="B35" s="127"/>
      <c r="C35" s="262" t="s">
        <v>50</v>
      </c>
      <c r="D35" s="262"/>
      <c r="E35" s="128"/>
      <c r="F35" s="129"/>
      <c r="G35" s="127"/>
      <c r="H35" s="128"/>
      <c r="I35" s="127"/>
      <c r="J35" s="127"/>
      <c r="K35" s="130"/>
      <c r="L35" s="130"/>
    </row>
    <row r="36" spans="1:12" s="106" customFormat="1" x14ac:dyDescent="0.25">
      <c r="A36" s="100">
        <v>0.27083333333333331</v>
      </c>
      <c r="B36" s="101">
        <v>0.33333333333333331</v>
      </c>
      <c r="C36" s="264" t="s">
        <v>51</v>
      </c>
      <c r="D36" s="264"/>
      <c r="E36" s="132"/>
      <c r="F36" s="133"/>
      <c r="G36" s="134"/>
      <c r="H36" s="132"/>
      <c r="I36" s="134"/>
      <c r="J36" s="134"/>
      <c r="K36" s="126"/>
      <c r="L36" s="126"/>
    </row>
    <row r="37" spans="1:12" ht="31.5" x14ac:dyDescent="0.25">
      <c r="A37" s="114"/>
      <c r="B37" s="85"/>
      <c r="C37" s="135" t="s">
        <v>53</v>
      </c>
      <c r="D37" s="136" t="s">
        <v>339</v>
      </c>
      <c r="E37" s="96">
        <f>$E$11</f>
        <v>1500</v>
      </c>
      <c r="F37" s="108">
        <v>1</v>
      </c>
      <c r="G37" s="85" t="s">
        <v>18</v>
      </c>
      <c r="H37" s="96">
        <f>IF(G37="VND",E37*F37,$E$3*E37*F37)</f>
        <v>270000</v>
      </c>
      <c r="I37" s="96"/>
      <c r="J37" s="96"/>
      <c r="K37" s="130"/>
      <c r="L37" s="130"/>
    </row>
    <row r="38" spans="1:12" x14ac:dyDescent="0.25">
      <c r="A38" s="114">
        <v>0.33333333333333331</v>
      </c>
      <c r="B38" s="109">
        <v>0.375</v>
      </c>
      <c r="C38" s="135" t="s">
        <v>340</v>
      </c>
      <c r="D38" s="136"/>
      <c r="E38" s="96">
        <v>260</v>
      </c>
      <c r="F38" s="108">
        <v>3</v>
      </c>
      <c r="G38" s="85" t="s">
        <v>18</v>
      </c>
      <c r="H38" s="96">
        <f>IF(G38="VND",E38*F38,$E$3*E38*F38)</f>
        <v>140400</v>
      </c>
      <c r="I38" s="96"/>
      <c r="J38" s="96"/>
      <c r="K38" s="130"/>
      <c r="L38" s="130"/>
    </row>
    <row r="39" spans="1:12" s="144" customFormat="1" ht="63" x14ac:dyDescent="0.25">
      <c r="A39" s="137">
        <v>0.375</v>
      </c>
      <c r="B39" s="138">
        <v>0.5</v>
      </c>
      <c r="C39" s="139" t="s">
        <v>341</v>
      </c>
      <c r="D39" s="140" t="s">
        <v>342</v>
      </c>
      <c r="E39" s="141">
        <f>3630/3</f>
        <v>1210</v>
      </c>
      <c r="F39" s="141">
        <v>3</v>
      </c>
      <c r="G39" s="142" t="s">
        <v>18</v>
      </c>
      <c r="H39" s="141">
        <f>IF(G39="VND",E39*F39,$E$3*E39*F39)</f>
        <v>653400</v>
      </c>
      <c r="I39" s="141"/>
      <c r="J39" s="141"/>
      <c r="K39" s="143"/>
      <c r="L39" s="143"/>
    </row>
    <row r="40" spans="1:12" x14ac:dyDescent="0.25">
      <c r="A40" s="114"/>
      <c r="B40" s="109"/>
      <c r="C40" s="131" t="s">
        <v>343</v>
      </c>
      <c r="D40" s="145" t="s">
        <v>344</v>
      </c>
      <c r="E40" s="128"/>
      <c r="F40" s="129"/>
      <c r="G40" s="127"/>
      <c r="H40" s="128"/>
      <c r="I40" s="127"/>
      <c r="J40" s="127"/>
      <c r="K40" s="130"/>
      <c r="L40" s="130"/>
    </row>
    <row r="41" spans="1:12" x14ac:dyDescent="0.25">
      <c r="A41" s="114"/>
      <c r="B41" s="85"/>
      <c r="C41" s="131" t="s">
        <v>345</v>
      </c>
      <c r="D41" s="136"/>
      <c r="E41" s="128"/>
      <c r="F41" s="129"/>
      <c r="G41" s="127"/>
      <c r="H41" s="128"/>
      <c r="I41" s="127"/>
      <c r="J41" s="127"/>
      <c r="K41" s="130"/>
      <c r="L41" s="130"/>
    </row>
    <row r="42" spans="1:12" x14ac:dyDescent="0.25">
      <c r="A42" s="114"/>
      <c r="B42" s="85"/>
      <c r="C42" s="131" t="s">
        <v>346</v>
      </c>
      <c r="D42" s="136"/>
      <c r="E42" s="128"/>
      <c r="F42" s="129"/>
      <c r="G42" s="127"/>
      <c r="H42" s="128"/>
      <c r="I42" s="127"/>
      <c r="J42" s="127"/>
      <c r="K42" s="130"/>
      <c r="L42" s="130"/>
    </row>
    <row r="43" spans="1:12" x14ac:dyDescent="0.25">
      <c r="A43" s="114"/>
      <c r="B43" s="85"/>
      <c r="C43" s="131" t="s">
        <v>347</v>
      </c>
      <c r="D43" s="136"/>
      <c r="E43" s="128"/>
      <c r="F43" s="129"/>
      <c r="G43" s="127"/>
      <c r="H43" s="128"/>
      <c r="I43" s="127"/>
      <c r="J43" s="127"/>
      <c r="K43" s="130"/>
      <c r="L43" s="130"/>
    </row>
    <row r="44" spans="1:12" x14ac:dyDescent="0.25">
      <c r="A44" s="114"/>
      <c r="B44" s="85"/>
      <c r="C44" s="131" t="s">
        <v>348</v>
      </c>
      <c r="D44" s="136"/>
      <c r="E44" s="128"/>
      <c r="F44" s="129"/>
      <c r="G44" s="127"/>
      <c r="H44" s="128"/>
      <c r="I44" s="127"/>
      <c r="J44" s="127"/>
      <c r="K44" s="130"/>
      <c r="L44" s="130"/>
    </row>
    <row r="45" spans="1:12" x14ac:dyDescent="0.25">
      <c r="A45" s="114"/>
      <c r="B45" s="85"/>
      <c r="C45" s="131" t="s">
        <v>349</v>
      </c>
      <c r="D45" s="136"/>
      <c r="E45" s="128"/>
      <c r="F45" s="129"/>
      <c r="G45" s="127"/>
      <c r="H45" s="128"/>
      <c r="I45" s="127"/>
      <c r="J45" s="127"/>
      <c r="K45" s="130"/>
      <c r="L45" s="130"/>
    </row>
    <row r="46" spans="1:12" x14ac:dyDescent="0.25">
      <c r="A46" s="114"/>
      <c r="B46" s="85"/>
      <c r="C46" s="131" t="s">
        <v>65</v>
      </c>
      <c r="D46" s="136" t="s">
        <v>350</v>
      </c>
      <c r="E46" s="96"/>
      <c r="F46" s="108">
        <v>1</v>
      </c>
      <c r="G46" s="85" t="s">
        <v>18</v>
      </c>
      <c r="H46" s="96">
        <f>IF(G46="VND",E46*F46,$E$3*E46*F46)</f>
        <v>0</v>
      </c>
      <c r="I46" s="96"/>
      <c r="J46" s="96"/>
      <c r="K46" s="130"/>
      <c r="L46" s="130"/>
    </row>
    <row r="47" spans="1:12" s="106" customFormat="1" x14ac:dyDescent="0.25">
      <c r="A47" s="100">
        <v>0.54166666666666663</v>
      </c>
      <c r="B47" s="101">
        <v>0.625</v>
      </c>
      <c r="C47" s="146" t="s">
        <v>351</v>
      </c>
      <c r="D47" s="147" t="s">
        <v>70</v>
      </c>
      <c r="E47" s="132"/>
      <c r="F47" s="133"/>
      <c r="G47" s="134"/>
      <c r="H47" s="132"/>
      <c r="I47" s="134"/>
      <c r="J47" s="134"/>
      <c r="K47" s="126"/>
      <c r="L47" s="126"/>
    </row>
    <row r="48" spans="1:12" x14ac:dyDescent="0.25">
      <c r="A48" s="114"/>
      <c r="B48" s="109"/>
      <c r="C48" s="263" t="s">
        <v>352</v>
      </c>
      <c r="D48" s="263"/>
      <c r="E48" s="96">
        <f>370+220</f>
        <v>590</v>
      </c>
      <c r="F48" s="108">
        <v>3</v>
      </c>
      <c r="G48" s="85" t="s">
        <v>18</v>
      </c>
      <c r="H48" s="96">
        <f>IF(G48="VND",E48*F48,$E$3*E48*F48)</f>
        <v>318600</v>
      </c>
      <c r="I48" s="96"/>
      <c r="J48" s="96"/>
      <c r="K48" s="130"/>
      <c r="L48" s="130"/>
    </row>
    <row r="49" spans="1:12" ht="42.95" customHeight="1" x14ac:dyDescent="0.25">
      <c r="A49" s="114"/>
      <c r="B49" s="109"/>
      <c r="C49" s="107" t="s">
        <v>353</v>
      </c>
      <c r="D49" s="84" t="s">
        <v>354</v>
      </c>
      <c r="E49" s="96">
        <v>1000</v>
      </c>
      <c r="F49" s="108">
        <v>3</v>
      </c>
      <c r="G49" s="85" t="s">
        <v>18</v>
      </c>
      <c r="H49" s="96">
        <f>IF(G49="VND",E49*F49,$E$3*E49*F49)</f>
        <v>540000</v>
      </c>
      <c r="I49" s="96"/>
      <c r="J49" s="96"/>
      <c r="K49" s="130"/>
      <c r="L49" s="130"/>
    </row>
    <row r="50" spans="1:12" x14ac:dyDescent="0.25">
      <c r="A50" s="114"/>
      <c r="B50" s="109"/>
      <c r="C50" s="107" t="s">
        <v>355</v>
      </c>
      <c r="D50" s="148" t="s">
        <v>356</v>
      </c>
      <c r="E50" s="96">
        <f>1700*1.1</f>
        <v>1870.0000000000002</v>
      </c>
      <c r="F50" s="108">
        <v>1</v>
      </c>
      <c r="G50" s="85" t="s">
        <v>18</v>
      </c>
      <c r="H50" s="96">
        <f>IF(G50="VND",E50*F50,$E$3*E50*F50)</f>
        <v>336600.00000000006</v>
      </c>
      <c r="I50" s="96"/>
      <c r="J50" s="96"/>
      <c r="K50" s="130"/>
      <c r="L50" s="130"/>
    </row>
    <row r="51" spans="1:12" s="106" customFormat="1" x14ac:dyDescent="0.25">
      <c r="A51" s="100">
        <v>0.70833333333333337</v>
      </c>
      <c r="B51" s="101">
        <v>0.79166666666666663</v>
      </c>
      <c r="C51" s="110" t="s">
        <v>357</v>
      </c>
      <c r="D51" s="102"/>
      <c r="E51" s="103">
        <f>220+410</f>
        <v>630</v>
      </c>
      <c r="F51" s="104">
        <v>3</v>
      </c>
      <c r="G51" s="105" t="s">
        <v>18</v>
      </c>
      <c r="H51" s="103">
        <f>IF(G51="VND",E51*F51,$E$3*E51*F51)</f>
        <v>340200</v>
      </c>
      <c r="I51" s="103"/>
      <c r="J51" s="103"/>
      <c r="K51" s="126"/>
      <c r="L51" s="126"/>
    </row>
    <row r="52" spans="1:12" ht="48.95" customHeight="1" x14ac:dyDescent="0.25">
      <c r="A52" s="84"/>
      <c r="B52" s="85"/>
      <c r="C52" s="107" t="s">
        <v>42</v>
      </c>
      <c r="D52" s="149" t="s">
        <v>358</v>
      </c>
      <c r="E52" s="96">
        <f>(1930+600)*1.1</f>
        <v>2783</v>
      </c>
      <c r="F52" s="96">
        <v>3</v>
      </c>
      <c r="G52" s="85" t="s">
        <v>18</v>
      </c>
      <c r="H52" s="96">
        <f t="shared" ref="H52:H53" si="1">IF(G52="VND",E52*F52,$E$3*E52*F52)</f>
        <v>1502820</v>
      </c>
      <c r="I52" s="96"/>
      <c r="J52" s="96"/>
    </row>
    <row r="53" spans="1:12" ht="12.75" customHeight="1" x14ac:dyDescent="0.25">
      <c r="A53" s="114">
        <v>0.86111111111111116</v>
      </c>
      <c r="B53" s="85"/>
      <c r="C53" s="150" t="s">
        <v>359</v>
      </c>
      <c r="D53" s="151"/>
      <c r="E53" s="96">
        <v>3400</v>
      </c>
      <c r="F53" s="96">
        <v>3</v>
      </c>
      <c r="G53" s="85" t="s">
        <v>18</v>
      </c>
      <c r="H53" s="96">
        <f t="shared" si="1"/>
        <v>1836000</v>
      </c>
      <c r="I53" s="96"/>
      <c r="J53" s="152" t="s">
        <v>360</v>
      </c>
    </row>
    <row r="54" spans="1:12" x14ac:dyDescent="0.25">
      <c r="A54" s="100">
        <v>0.91666666666666663</v>
      </c>
      <c r="B54" s="101"/>
      <c r="C54" s="153" t="s">
        <v>77</v>
      </c>
      <c r="D54" s="102"/>
      <c r="E54" s="103">
        <v>180</v>
      </c>
      <c r="F54" s="104">
        <v>3</v>
      </c>
      <c r="G54" s="105" t="s">
        <v>18</v>
      </c>
      <c r="H54" s="103">
        <f>IF(G54="VND",E54*F54,$E$3*E54*F54)</f>
        <v>97200</v>
      </c>
      <c r="I54" s="96"/>
      <c r="J54" s="96"/>
    </row>
    <row r="55" spans="1:12" s="15" customFormat="1" x14ac:dyDescent="0.25">
      <c r="A55" s="72" t="str">
        <f>"Ngày 3: "&amp;C13+2&amp;"/6/2025 - Chủ Nhật - Tour Phú Sĩ - Mua Tour"</f>
        <v>Ngày 3: 15/6/2025 - Chủ Nhật - Tour Phú Sĩ - Mua Tour</v>
      </c>
      <c r="B55" s="73"/>
      <c r="C55" s="74"/>
      <c r="D55" s="154" t="s">
        <v>361</v>
      </c>
      <c r="E55" s="75"/>
      <c r="F55" s="76"/>
      <c r="G55" s="73"/>
      <c r="H55" s="75"/>
      <c r="I55" s="73"/>
      <c r="J55" s="73"/>
      <c r="K55" s="14"/>
      <c r="L55" s="14"/>
    </row>
    <row r="56" spans="1:12" s="106" customFormat="1" x14ac:dyDescent="0.25">
      <c r="A56" s="102"/>
      <c r="B56" s="105"/>
      <c r="C56" s="102" t="s">
        <v>84</v>
      </c>
      <c r="D56" s="155"/>
      <c r="E56" s="103">
        <f>$E$11</f>
        <v>1500</v>
      </c>
      <c r="F56" s="104">
        <v>1</v>
      </c>
      <c r="G56" s="105" t="s">
        <v>18</v>
      </c>
      <c r="H56" s="103">
        <f>IF(G56="VND",E56*F56,$E$3*E56*F56)</f>
        <v>270000</v>
      </c>
      <c r="I56" s="103"/>
      <c r="J56" s="103"/>
    </row>
    <row r="57" spans="1:12" s="156" customFormat="1" x14ac:dyDescent="0.25">
      <c r="A57" s="121"/>
      <c r="B57" s="124"/>
      <c r="C57" s="121" t="s">
        <v>362</v>
      </c>
      <c r="D57" s="121"/>
      <c r="E57" s="122">
        <v>180</v>
      </c>
      <c r="F57" s="123">
        <v>3</v>
      </c>
      <c r="G57" s="124" t="s">
        <v>18</v>
      </c>
      <c r="H57" s="122">
        <f>IF(G57="VND",E57*F57,$E$3*E57*F57)</f>
        <v>97200</v>
      </c>
      <c r="I57" s="122"/>
      <c r="J57" s="122"/>
    </row>
    <row r="58" spans="1:12" ht="47.25" x14ac:dyDescent="0.25">
      <c r="A58" s="114">
        <v>0.33333333333333331</v>
      </c>
      <c r="B58" s="85"/>
      <c r="C58" s="84" t="s">
        <v>86</v>
      </c>
      <c r="D58" s="84" t="s">
        <v>363</v>
      </c>
      <c r="E58" s="96">
        <f>5457114/3</f>
        <v>1819038</v>
      </c>
      <c r="F58" s="108">
        <v>3</v>
      </c>
      <c r="G58" s="85" t="s">
        <v>22</v>
      </c>
      <c r="H58" s="96">
        <f>IF(G58="VND",E58*F58,$E$3*E58*F58)</f>
        <v>5457114</v>
      </c>
      <c r="I58" s="96">
        <v>1</v>
      </c>
      <c r="J58" s="152" t="s">
        <v>324</v>
      </c>
    </row>
    <row r="59" spans="1:12" x14ac:dyDescent="0.25">
      <c r="A59" s="114">
        <v>0.4375</v>
      </c>
      <c r="B59" s="85"/>
      <c r="C59" s="84" t="s">
        <v>88</v>
      </c>
      <c r="D59" s="84"/>
      <c r="E59" s="96"/>
      <c r="F59" s="108"/>
      <c r="G59" s="85"/>
      <c r="H59" s="96"/>
      <c r="I59" s="85"/>
      <c r="J59" s="85"/>
    </row>
    <row r="60" spans="1:12" x14ac:dyDescent="0.25">
      <c r="A60" s="114">
        <v>0.48958333333333331</v>
      </c>
      <c r="B60" s="85"/>
      <c r="C60" s="84" t="s">
        <v>89</v>
      </c>
      <c r="D60" s="84"/>
      <c r="E60" s="96"/>
      <c r="F60" s="108"/>
      <c r="G60" s="85"/>
      <c r="H60" s="96"/>
      <c r="I60" s="85"/>
      <c r="J60" s="85"/>
    </row>
    <row r="61" spans="1:12" x14ac:dyDescent="0.25">
      <c r="A61" s="114">
        <v>0.52083333333333337</v>
      </c>
      <c r="B61" s="85"/>
      <c r="C61" s="84" t="s">
        <v>90</v>
      </c>
      <c r="D61" s="84"/>
      <c r="E61" s="96"/>
      <c r="F61" s="108"/>
      <c r="G61" s="85"/>
      <c r="H61" s="96"/>
      <c r="I61" s="85"/>
      <c r="J61" s="85"/>
    </row>
    <row r="62" spans="1:12" x14ac:dyDescent="0.25">
      <c r="A62" s="114">
        <v>0.60416666666666663</v>
      </c>
      <c r="B62" s="85"/>
      <c r="C62" s="84" t="s">
        <v>91</v>
      </c>
      <c r="D62" s="84"/>
      <c r="E62" s="96"/>
      <c r="F62" s="108"/>
      <c r="G62" s="85"/>
      <c r="H62" s="96"/>
      <c r="I62" s="85"/>
      <c r="J62" s="85"/>
    </row>
    <row r="63" spans="1:12" ht="78.75" x14ac:dyDescent="0.25">
      <c r="A63" s="114">
        <v>0.63194444444444442</v>
      </c>
      <c r="B63" s="85"/>
      <c r="C63" s="84" t="s">
        <v>92</v>
      </c>
      <c r="D63" s="84" t="s">
        <v>364</v>
      </c>
      <c r="E63" s="96"/>
      <c r="F63" s="108"/>
      <c r="G63" s="85"/>
      <c r="H63" s="96"/>
      <c r="I63" s="85"/>
      <c r="J63" s="85"/>
    </row>
    <row r="64" spans="1:12" x14ac:dyDescent="0.25">
      <c r="A64" s="114">
        <v>0.63888888888888884</v>
      </c>
      <c r="B64" s="85"/>
      <c r="C64" s="84" t="s">
        <v>93</v>
      </c>
      <c r="D64" s="84"/>
      <c r="E64" s="96"/>
      <c r="F64" s="108"/>
      <c r="G64" s="85"/>
      <c r="H64" s="96"/>
      <c r="I64" s="85"/>
      <c r="J64" s="85"/>
    </row>
    <row r="65" spans="1:12" x14ac:dyDescent="0.25">
      <c r="A65" s="114">
        <v>0.78472222222222221</v>
      </c>
      <c r="B65" s="85"/>
      <c r="C65" s="84" t="s">
        <v>94</v>
      </c>
      <c r="D65" s="84"/>
      <c r="E65" s="96"/>
      <c r="F65" s="108"/>
      <c r="G65" s="85"/>
      <c r="H65" s="96"/>
      <c r="I65" s="85"/>
      <c r="J65" s="85"/>
    </row>
    <row r="66" spans="1:12" x14ac:dyDescent="0.25">
      <c r="A66" s="84"/>
      <c r="B66" s="85"/>
      <c r="C66" s="84"/>
      <c r="D66" s="84"/>
      <c r="E66" s="96"/>
      <c r="F66" s="108"/>
      <c r="G66" s="85"/>
      <c r="H66" s="96"/>
      <c r="I66" s="85"/>
      <c r="J66" s="85"/>
    </row>
    <row r="67" spans="1:12" s="106" customFormat="1" x14ac:dyDescent="0.25">
      <c r="A67" s="102"/>
      <c r="B67" s="105"/>
      <c r="C67" s="102" t="s">
        <v>95</v>
      </c>
      <c r="D67" s="102"/>
      <c r="E67" s="103">
        <v>180</v>
      </c>
      <c r="F67" s="104">
        <v>3</v>
      </c>
      <c r="G67" s="105" t="s">
        <v>18</v>
      </c>
      <c r="H67" s="103">
        <f>IF(G67="VND",E67*F67,$E$3*E67*F67)</f>
        <v>97200</v>
      </c>
      <c r="I67" s="103"/>
      <c r="J67" s="103"/>
    </row>
    <row r="68" spans="1:12" ht="63" x14ac:dyDescent="0.25">
      <c r="A68" s="84"/>
      <c r="B68" s="85"/>
      <c r="C68" s="84" t="s">
        <v>73</v>
      </c>
      <c r="D68" s="209" t="s">
        <v>365</v>
      </c>
      <c r="E68" s="96">
        <f>1250*1.1</f>
        <v>1375</v>
      </c>
      <c r="F68" s="108">
        <v>3</v>
      </c>
      <c r="G68" s="85" t="s">
        <v>18</v>
      </c>
      <c r="H68" s="96">
        <f>IF(G68="VND",E68*F68,$E$3*E68*F68)</f>
        <v>742500</v>
      </c>
      <c r="I68" s="96"/>
      <c r="J68" s="96"/>
    </row>
    <row r="69" spans="1:12" x14ac:dyDescent="0.25">
      <c r="A69" s="84"/>
      <c r="B69" s="85"/>
      <c r="C69" s="84" t="s">
        <v>366</v>
      </c>
      <c r="D69" s="84"/>
      <c r="E69" s="96">
        <v>500</v>
      </c>
      <c r="F69" s="108">
        <v>3</v>
      </c>
      <c r="G69" s="85" t="s">
        <v>18</v>
      </c>
      <c r="H69" s="96">
        <f>IF(G69="VND",E69*F69,$E$3*E69*F69)</f>
        <v>270000</v>
      </c>
      <c r="I69" s="96"/>
      <c r="J69" s="96"/>
    </row>
    <row r="70" spans="1:12" s="15" customFormat="1" x14ac:dyDescent="0.25">
      <c r="A70" s="72" t="str">
        <f>"Ngày 4: "&amp;C13+3&amp;"/6/2025 - TOKYO STATION TOKYO TOWER + GINZA MUA SẮM - SAU ĐÓ KYOTO"</f>
        <v>Ngày 4: 16/6/2025 - TOKYO STATION TOKYO TOWER + GINZA MUA SẮM - SAU ĐÓ KYOTO</v>
      </c>
      <c r="B70" s="73"/>
      <c r="C70" s="74"/>
      <c r="D70" s="74"/>
      <c r="E70" s="75"/>
      <c r="F70" s="76"/>
      <c r="G70" s="73"/>
      <c r="H70" s="75"/>
      <c r="I70" s="73"/>
      <c r="J70" s="73"/>
      <c r="K70" s="14"/>
      <c r="L70" s="14"/>
    </row>
    <row r="71" spans="1:12" x14ac:dyDescent="0.25">
      <c r="A71" s="114">
        <v>0.33333333333333331</v>
      </c>
      <c r="B71" s="85"/>
      <c r="C71" s="84" t="s">
        <v>85</v>
      </c>
      <c r="D71" s="84"/>
      <c r="E71" s="96">
        <v>180</v>
      </c>
      <c r="F71" s="108">
        <v>3</v>
      </c>
      <c r="G71" s="85" t="s">
        <v>18</v>
      </c>
      <c r="H71" s="96">
        <f t="shared" ref="H71:H77" si="2">IF(G71="VND",E71*F71,$E$3*E71*F71)</f>
        <v>97200</v>
      </c>
      <c r="I71" s="96"/>
      <c r="J71" s="96"/>
    </row>
    <row r="72" spans="1:12" x14ac:dyDescent="0.25">
      <c r="A72" s="114"/>
      <c r="B72" s="85"/>
      <c r="C72" s="84" t="s">
        <v>367</v>
      </c>
      <c r="D72" s="84"/>
      <c r="E72" s="96">
        <v>1500</v>
      </c>
      <c r="F72" s="108">
        <v>1</v>
      </c>
      <c r="G72" s="85" t="s">
        <v>18</v>
      </c>
      <c r="H72" s="96">
        <f t="shared" si="2"/>
        <v>270000</v>
      </c>
      <c r="I72" s="96"/>
      <c r="J72" s="96"/>
    </row>
    <row r="73" spans="1:12" x14ac:dyDescent="0.25">
      <c r="A73" s="84"/>
      <c r="B73" s="85"/>
      <c r="C73" s="157" t="s">
        <v>100</v>
      </c>
      <c r="D73" s="157" t="s">
        <v>368</v>
      </c>
      <c r="E73" s="96">
        <v>700</v>
      </c>
      <c r="F73" s="108">
        <v>2</v>
      </c>
      <c r="G73" s="85" t="s">
        <v>18</v>
      </c>
      <c r="H73" s="96">
        <f t="shared" si="2"/>
        <v>252000</v>
      </c>
      <c r="I73" s="96"/>
      <c r="J73" s="96"/>
    </row>
    <row r="74" spans="1:12" s="106" customFormat="1" x14ac:dyDescent="0.25">
      <c r="A74" s="137">
        <v>0.35416666666666669</v>
      </c>
      <c r="B74" s="138">
        <v>0.375</v>
      </c>
      <c r="C74" s="158" t="s">
        <v>369</v>
      </c>
      <c r="D74" s="102" t="s">
        <v>370</v>
      </c>
      <c r="E74" s="103">
        <v>180</v>
      </c>
      <c r="F74" s="104">
        <v>3</v>
      </c>
      <c r="G74" s="105" t="s">
        <v>18</v>
      </c>
      <c r="H74" s="103">
        <f t="shared" si="2"/>
        <v>97200</v>
      </c>
      <c r="I74" s="103"/>
      <c r="J74" s="103"/>
    </row>
    <row r="75" spans="1:12" ht="31.5" x14ac:dyDescent="0.25">
      <c r="A75" s="114">
        <v>0.47916666666666669</v>
      </c>
      <c r="B75" s="109">
        <v>0.54166666666666663</v>
      </c>
      <c r="C75" s="84" t="s">
        <v>105</v>
      </c>
      <c r="D75" s="159" t="s">
        <v>371</v>
      </c>
      <c r="E75" s="96">
        <f>1090*1.1</f>
        <v>1199</v>
      </c>
      <c r="F75" s="108">
        <v>3</v>
      </c>
      <c r="G75" s="85" t="s">
        <v>18</v>
      </c>
      <c r="H75" s="96">
        <f t="shared" si="2"/>
        <v>647460</v>
      </c>
      <c r="I75" s="96"/>
      <c r="J75" s="96"/>
    </row>
    <row r="76" spans="1:12" x14ac:dyDescent="0.25">
      <c r="A76" s="114">
        <v>0.54166666666666663</v>
      </c>
      <c r="B76" s="109">
        <v>0.5625</v>
      </c>
      <c r="C76" s="86" t="s">
        <v>372</v>
      </c>
      <c r="D76" s="84"/>
      <c r="E76" s="96">
        <v>180</v>
      </c>
      <c r="F76" s="108">
        <v>3</v>
      </c>
      <c r="G76" s="85" t="s">
        <v>18</v>
      </c>
      <c r="H76" s="96">
        <f t="shared" si="2"/>
        <v>97200</v>
      </c>
      <c r="I76" s="96"/>
      <c r="J76" s="96"/>
    </row>
    <row r="77" spans="1:12" x14ac:dyDescent="0.25">
      <c r="A77" s="114"/>
      <c r="B77" s="109"/>
      <c r="C77" s="84" t="s">
        <v>373</v>
      </c>
      <c r="D77" s="84"/>
      <c r="E77" s="96">
        <v>180</v>
      </c>
      <c r="F77" s="108">
        <v>3</v>
      </c>
      <c r="G77" s="85" t="s">
        <v>18</v>
      </c>
      <c r="H77" s="96">
        <f t="shared" si="2"/>
        <v>97200</v>
      </c>
      <c r="I77" s="96"/>
      <c r="J77" s="96"/>
    </row>
    <row r="78" spans="1:12" x14ac:dyDescent="0.25">
      <c r="A78" s="114">
        <v>0.60416666666666663</v>
      </c>
      <c r="B78" s="109">
        <v>0.625</v>
      </c>
      <c r="C78" s="84" t="s">
        <v>374</v>
      </c>
      <c r="D78" s="84"/>
      <c r="E78" s="96"/>
      <c r="F78" s="108"/>
      <c r="G78" s="85"/>
      <c r="H78" s="96"/>
      <c r="I78" s="96"/>
      <c r="J78" s="96"/>
    </row>
    <row r="79" spans="1:12" ht="31.5" x14ac:dyDescent="0.25">
      <c r="A79" s="114">
        <v>0.625</v>
      </c>
      <c r="B79" s="109">
        <v>0.6875</v>
      </c>
      <c r="C79" s="86" t="s">
        <v>375</v>
      </c>
      <c r="D79" s="84" t="s">
        <v>376</v>
      </c>
      <c r="E79" s="96"/>
      <c r="F79" s="108"/>
      <c r="G79" s="85"/>
      <c r="H79" s="96"/>
      <c r="I79" s="96"/>
      <c r="J79" s="96"/>
    </row>
    <row r="80" spans="1:12" x14ac:dyDescent="0.25">
      <c r="A80" s="114">
        <v>0.6875</v>
      </c>
      <c r="B80" s="109">
        <v>0.72916666666666663</v>
      </c>
      <c r="C80" s="84" t="s">
        <v>373</v>
      </c>
      <c r="D80" s="84"/>
      <c r="E80" s="96">
        <v>180</v>
      </c>
      <c r="F80" s="108">
        <v>3</v>
      </c>
      <c r="G80" s="85" t="s">
        <v>18</v>
      </c>
      <c r="H80" s="96">
        <f>IF(G80="VND",E80*F80,$E$3*E80*F80)</f>
        <v>97200</v>
      </c>
      <c r="I80" s="96"/>
      <c r="J80" s="96"/>
    </row>
    <row r="81" spans="1:10" s="106" customFormat="1" x14ac:dyDescent="0.25">
      <c r="A81" s="100">
        <v>0.79166666666666663</v>
      </c>
      <c r="B81" s="101">
        <v>0.875</v>
      </c>
      <c r="C81" s="125" t="s">
        <v>110</v>
      </c>
      <c r="D81" s="102"/>
      <c r="E81" s="103">
        <v>14170</v>
      </c>
      <c r="F81" s="104">
        <v>3</v>
      </c>
      <c r="G81" s="105" t="s">
        <v>111</v>
      </c>
      <c r="H81" s="103">
        <f t="shared" ref="H81:H84" si="3">IF(G81="VND",E81*F81,$E$3*E81*F81)</f>
        <v>7651800</v>
      </c>
      <c r="I81" s="103">
        <v>1</v>
      </c>
      <c r="J81" s="103"/>
    </row>
    <row r="82" spans="1:10" ht="31.5" x14ac:dyDescent="0.25">
      <c r="A82" s="114">
        <v>0.83333333333333337</v>
      </c>
      <c r="B82" s="109">
        <v>0.85416666666666663</v>
      </c>
      <c r="C82" s="148" t="s">
        <v>112</v>
      </c>
      <c r="D82" s="148"/>
      <c r="E82" s="160">
        <f>3271316/2</f>
        <v>1635658</v>
      </c>
      <c r="F82" s="161">
        <v>2</v>
      </c>
      <c r="G82" s="162" t="s">
        <v>22</v>
      </c>
      <c r="H82" s="160">
        <f t="shared" si="3"/>
        <v>3271316</v>
      </c>
      <c r="I82" s="160"/>
      <c r="J82" s="96"/>
    </row>
    <row r="83" spans="1:10" x14ac:dyDescent="0.25">
      <c r="A83" s="114"/>
      <c r="B83" s="109"/>
      <c r="C83" s="260" t="s">
        <v>377</v>
      </c>
      <c r="D83" s="148" t="s">
        <v>378</v>
      </c>
      <c r="E83" s="160">
        <f>1100*1.1</f>
        <v>1210</v>
      </c>
      <c r="F83" s="161">
        <v>3</v>
      </c>
      <c r="G83" s="162" t="s">
        <v>18</v>
      </c>
      <c r="H83" s="160">
        <f>IF(G83="VND",E83*F83,$E$3*E83*F83)</f>
        <v>653400</v>
      </c>
      <c r="I83" s="160"/>
      <c r="J83" s="96"/>
    </row>
    <row r="84" spans="1:10" x14ac:dyDescent="0.25">
      <c r="A84" s="114"/>
      <c r="B84" s="109"/>
      <c r="C84" s="260"/>
      <c r="D84" s="148" t="s">
        <v>379</v>
      </c>
      <c r="E84" s="160">
        <v>1500000</v>
      </c>
      <c r="F84" s="163">
        <v>0</v>
      </c>
      <c r="G84" s="162" t="s">
        <v>22</v>
      </c>
      <c r="H84" s="160">
        <f t="shared" si="3"/>
        <v>0</v>
      </c>
      <c r="I84" s="160"/>
      <c r="J84" s="96"/>
    </row>
    <row r="85" spans="1:10" x14ac:dyDescent="0.25">
      <c r="A85" s="84"/>
      <c r="B85" s="85"/>
      <c r="C85" s="84" t="s">
        <v>113</v>
      </c>
      <c r="D85" s="84" t="s">
        <v>114</v>
      </c>
      <c r="E85" s="96"/>
      <c r="F85" s="95"/>
      <c r="G85" s="85"/>
      <c r="H85" s="96"/>
      <c r="I85" s="96"/>
      <c r="J85" s="96"/>
    </row>
    <row r="86" spans="1:10" ht="47.25" x14ac:dyDescent="0.25">
      <c r="A86" s="84"/>
      <c r="B86" s="85"/>
      <c r="C86" s="164" t="s">
        <v>115</v>
      </c>
      <c r="D86" s="164" t="s">
        <v>380</v>
      </c>
      <c r="E86" s="96">
        <v>1500</v>
      </c>
      <c r="F86" s="108">
        <v>3</v>
      </c>
      <c r="G86" s="85" t="s">
        <v>18</v>
      </c>
      <c r="H86" s="96">
        <f>IF(G86="VND",E86*F86,$E$3*E86*F86)</f>
        <v>810000</v>
      </c>
      <c r="I86" s="96"/>
      <c r="J86" s="96"/>
    </row>
    <row r="87" spans="1:10" s="15" customFormat="1" x14ac:dyDescent="0.25">
      <c r="A87" s="72" t="str">
        <f>"Ngày 5: "&amp;C13+4&amp;"/6/2025 - KYOTO"</f>
        <v>Ngày 5: 17/6/2025 - KYOTO</v>
      </c>
      <c r="B87" s="73"/>
      <c r="C87" s="74"/>
      <c r="D87" s="74"/>
      <c r="E87" s="75"/>
      <c r="F87" s="76"/>
      <c r="G87" s="73"/>
      <c r="H87" s="75"/>
      <c r="I87" s="73"/>
      <c r="J87" s="73"/>
    </row>
    <row r="88" spans="1:10" s="106" customFormat="1" x14ac:dyDescent="0.25">
      <c r="A88" s="100">
        <v>0.29166666666666669</v>
      </c>
      <c r="B88" s="101">
        <v>0.33333333333333331</v>
      </c>
      <c r="C88" s="102" t="s">
        <v>118</v>
      </c>
      <c r="D88" s="102" t="s">
        <v>119</v>
      </c>
      <c r="E88" s="103">
        <f>$E$11</f>
        <v>1500</v>
      </c>
      <c r="F88" s="104">
        <v>1</v>
      </c>
      <c r="G88" s="105" t="s">
        <v>18</v>
      </c>
      <c r="H88" s="103">
        <f>IF(G88="VND",E88*F88,$E$3*E88*F88)</f>
        <v>270000</v>
      </c>
      <c r="I88" s="103"/>
      <c r="J88" s="103"/>
    </row>
    <row r="89" spans="1:10" x14ac:dyDescent="0.25">
      <c r="A89" s="157"/>
      <c r="B89" s="127"/>
      <c r="C89" s="84" t="s">
        <v>381</v>
      </c>
      <c r="D89" s="165" t="s">
        <v>382</v>
      </c>
      <c r="E89" s="96">
        <v>1100</v>
      </c>
      <c r="F89" s="108">
        <v>3</v>
      </c>
      <c r="G89" s="85" t="s">
        <v>111</v>
      </c>
      <c r="H89" s="96">
        <f>IF(G89="VND",E89*F89,$E$3*E89*F89)</f>
        <v>594000</v>
      </c>
      <c r="I89" s="96"/>
      <c r="J89" s="96"/>
    </row>
    <row r="90" spans="1:10" s="106" customFormat="1" ht="63" x14ac:dyDescent="0.25">
      <c r="A90" s="125"/>
      <c r="B90" s="134"/>
      <c r="C90" s="102" t="s">
        <v>383</v>
      </c>
      <c r="D90" s="166" t="s">
        <v>123</v>
      </c>
      <c r="E90" s="103">
        <v>11000</v>
      </c>
      <c r="F90" s="104">
        <v>1</v>
      </c>
      <c r="G90" s="105" t="s">
        <v>18</v>
      </c>
      <c r="H90" s="103">
        <f>IF(G90="VND",E90*F90,$E$3*E90*F90)</f>
        <v>1980000</v>
      </c>
      <c r="I90" s="103">
        <v>1</v>
      </c>
      <c r="J90" s="167" t="s">
        <v>384</v>
      </c>
    </row>
    <row r="91" spans="1:10" x14ac:dyDescent="0.25">
      <c r="A91" s="114">
        <v>0.33333333333333331</v>
      </c>
      <c r="B91" s="109">
        <v>0.45833333333333331</v>
      </c>
      <c r="C91" s="86" t="s">
        <v>385</v>
      </c>
      <c r="D91" s="84"/>
      <c r="E91" s="96"/>
      <c r="F91" s="108"/>
      <c r="G91" s="85"/>
      <c r="H91" s="96"/>
      <c r="I91" s="85"/>
      <c r="J91" s="85"/>
    </row>
    <row r="92" spans="1:10" ht="31.5" x14ac:dyDescent="0.25">
      <c r="A92" s="84"/>
      <c r="B92" s="85"/>
      <c r="C92" s="107" t="s">
        <v>125</v>
      </c>
      <c r="D92" s="84" t="s">
        <v>126</v>
      </c>
      <c r="E92" s="96"/>
      <c r="F92" s="108"/>
      <c r="G92" s="85"/>
      <c r="H92" s="96"/>
      <c r="I92" s="85"/>
      <c r="J92" s="85"/>
    </row>
    <row r="93" spans="1:10" x14ac:dyDescent="0.25">
      <c r="A93" s="84"/>
      <c r="B93" s="85"/>
      <c r="C93" s="107" t="s">
        <v>127</v>
      </c>
      <c r="D93" s="84"/>
      <c r="E93" s="96"/>
      <c r="F93" s="108"/>
      <c r="G93" s="85"/>
      <c r="H93" s="96"/>
      <c r="I93" s="85"/>
      <c r="J93" s="85"/>
    </row>
    <row r="94" spans="1:10" s="106" customFormat="1" ht="31.5" x14ac:dyDescent="0.25">
      <c r="A94" s="100">
        <v>0.45833333333333331</v>
      </c>
      <c r="B94" s="101">
        <v>0.54166666666666663</v>
      </c>
      <c r="C94" s="102" t="s">
        <v>386</v>
      </c>
      <c r="D94" s="168" t="s">
        <v>387</v>
      </c>
      <c r="E94" s="103">
        <f>(990+600)*1.1</f>
        <v>1749.0000000000002</v>
      </c>
      <c r="F94" s="104">
        <v>3</v>
      </c>
      <c r="G94" s="105" t="s">
        <v>111</v>
      </c>
      <c r="H94" s="103">
        <f>IF(G94="VND",E94*F94,$E$3*E94*F94)</f>
        <v>944460.00000000023</v>
      </c>
      <c r="I94" s="103"/>
      <c r="J94" s="103"/>
    </row>
    <row r="95" spans="1:10" x14ac:dyDescent="0.25">
      <c r="A95" s="84"/>
      <c r="B95" s="85"/>
      <c r="C95" s="107"/>
      <c r="D95" s="116"/>
      <c r="E95" s="96"/>
      <c r="F95" s="108"/>
      <c r="G95" s="85"/>
      <c r="H95" s="96"/>
      <c r="I95" s="85"/>
      <c r="J95" s="85"/>
    </row>
    <row r="96" spans="1:10" ht="31.5" x14ac:dyDescent="0.25">
      <c r="A96" s="114">
        <v>0.5625</v>
      </c>
      <c r="B96" s="109">
        <v>0.58333333333333337</v>
      </c>
      <c r="C96" s="84" t="s">
        <v>388</v>
      </c>
      <c r="D96" s="84" t="s">
        <v>389</v>
      </c>
      <c r="E96" s="96">
        <v>220</v>
      </c>
      <c r="F96" s="108">
        <v>3</v>
      </c>
      <c r="G96" s="85" t="s">
        <v>111</v>
      </c>
      <c r="H96" s="96">
        <f>IF(G96="VND",E96*F96,$E$3*E96*F96)</f>
        <v>118800</v>
      </c>
      <c r="I96" s="96"/>
      <c r="J96" s="85"/>
    </row>
    <row r="97" spans="1:12" x14ac:dyDescent="0.25">
      <c r="A97" s="114"/>
      <c r="B97" s="109"/>
      <c r="C97" s="107" t="s">
        <v>390</v>
      </c>
      <c r="D97" s="91" t="s">
        <v>391</v>
      </c>
      <c r="E97" s="91"/>
      <c r="F97" s="91"/>
      <c r="J97" s="96"/>
    </row>
    <row r="98" spans="1:12" x14ac:dyDescent="0.25">
      <c r="A98" s="114"/>
      <c r="B98" s="109">
        <v>0.66666666666666663</v>
      </c>
      <c r="C98" s="107" t="s">
        <v>392</v>
      </c>
      <c r="D98" s="84"/>
      <c r="E98" s="96"/>
      <c r="F98" s="108"/>
      <c r="G98" s="85"/>
      <c r="H98" s="96"/>
      <c r="I98" s="85"/>
      <c r="J98" s="85"/>
    </row>
    <row r="99" spans="1:12" x14ac:dyDescent="0.25">
      <c r="A99" s="114"/>
      <c r="C99" s="91"/>
      <c r="D99" s="91"/>
      <c r="E99" s="91"/>
      <c r="F99" s="91"/>
      <c r="J99" s="96"/>
    </row>
    <row r="100" spans="1:12" x14ac:dyDescent="0.25">
      <c r="A100" s="114"/>
      <c r="B100" s="109">
        <v>0.75</v>
      </c>
      <c r="C100" s="84" t="s">
        <v>393</v>
      </c>
      <c r="D100" s="84"/>
      <c r="E100" s="96"/>
      <c r="F100" s="108"/>
      <c r="G100" s="85"/>
      <c r="H100" s="96"/>
      <c r="I100" s="85"/>
      <c r="J100" s="85"/>
    </row>
    <row r="101" spans="1:12" s="106" customFormat="1" x14ac:dyDescent="0.25">
      <c r="A101" s="100"/>
      <c r="B101" s="101">
        <v>0.79166666666666663</v>
      </c>
      <c r="C101" s="102" t="s">
        <v>394</v>
      </c>
      <c r="D101" s="168" t="s">
        <v>395</v>
      </c>
      <c r="E101" s="170">
        <f>2750*1.1</f>
        <v>3025.0000000000005</v>
      </c>
      <c r="F101" s="104">
        <v>3</v>
      </c>
      <c r="G101" s="105" t="s">
        <v>18</v>
      </c>
      <c r="H101" s="103">
        <f>IF(G101="VND",E101*F101,$E$3*E101*F101)</f>
        <v>1633500.0000000005</v>
      </c>
      <c r="I101" s="103"/>
      <c r="J101" s="103"/>
    </row>
    <row r="102" spans="1:12" x14ac:dyDescent="0.25">
      <c r="A102" s="114"/>
      <c r="B102" s="109"/>
      <c r="C102" s="84" t="s">
        <v>149</v>
      </c>
      <c r="D102" s="84" t="s">
        <v>150</v>
      </c>
      <c r="E102" s="96"/>
      <c r="F102" s="108"/>
      <c r="G102" s="85"/>
      <c r="H102" s="96"/>
      <c r="I102" s="85"/>
      <c r="J102" s="85"/>
    </row>
    <row r="103" spans="1:12" x14ac:dyDescent="0.25">
      <c r="A103" s="114"/>
      <c r="B103" s="109"/>
      <c r="C103" s="84"/>
      <c r="D103" s="84"/>
      <c r="E103" s="96"/>
      <c r="F103" s="108"/>
      <c r="G103" s="85"/>
      <c r="H103" s="96"/>
      <c r="I103" s="85"/>
      <c r="J103" s="85"/>
    </row>
    <row r="104" spans="1:12" x14ac:dyDescent="0.25">
      <c r="A104" s="72" t="str">
        <f>"Ngày 6: "&amp;C13+5&amp;"/6/2025 - CHƠI NỐT KYOTO - SAU ĐÓ OSAKA"</f>
        <v>Ngày 6: 18/6/2025 - CHƠI NỐT KYOTO - SAU ĐÓ OSAKA</v>
      </c>
      <c r="B104" s="73"/>
      <c r="C104" s="74"/>
      <c r="D104" s="74"/>
      <c r="E104" s="75"/>
      <c r="F104" s="76"/>
      <c r="G104" s="73"/>
      <c r="H104" s="75"/>
      <c r="I104" s="73"/>
      <c r="J104" s="73"/>
      <c r="K104" s="15"/>
      <c r="L104" s="15"/>
    </row>
    <row r="105" spans="1:12" s="106" customFormat="1" x14ac:dyDescent="0.25">
      <c r="A105" s="100"/>
      <c r="B105" s="101">
        <v>0.33333333333333331</v>
      </c>
      <c r="C105" s="102" t="s">
        <v>152</v>
      </c>
      <c r="D105" s="102" t="s">
        <v>119</v>
      </c>
      <c r="E105" s="103">
        <f>$E$11</f>
        <v>1500</v>
      </c>
      <c r="F105" s="104">
        <v>1</v>
      </c>
      <c r="G105" s="105" t="s">
        <v>18</v>
      </c>
      <c r="H105" s="103">
        <f>IF(G105="VND",E105*F105,$E$3*E105*F105)</f>
        <v>270000</v>
      </c>
      <c r="I105" s="103"/>
      <c r="J105" s="103"/>
    </row>
    <row r="106" spans="1:12" x14ac:dyDescent="0.25">
      <c r="A106" s="114"/>
      <c r="B106" s="109"/>
      <c r="C106" s="84"/>
      <c r="D106" s="84"/>
      <c r="E106" s="96"/>
      <c r="F106" s="108"/>
      <c r="G106" s="85"/>
      <c r="H106" s="96"/>
      <c r="I106" s="85"/>
      <c r="J106" s="85"/>
    </row>
    <row r="107" spans="1:12" s="106" customFormat="1" ht="31.5" x14ac:dyDescent="0.25">
      <c r="A107" s="100">
        <v>0.33333333333333331</v>
      </c>
      <c r="B107" s="101">
        <v>0.375</v>
      </c>
      <c r="C107" s="102" t="s">
        <v>396</v>
      </c>
      <c r="D107" s="168" t="s">
        <v>397</v>
      </c>
      <c r="E107" s="103">
        <v>600</v>
      </c>
      <c r="F107" s="104">
        <v>3</v>
      </c>
      <c r="G107" s="105" t="s">
        <v>18</v>
      </c>
      <c r="H107" s="103">
        <f>IF(G107="VND",E107*F107,$E$3*E107*F107)</f>
        <v>324000</v>
      </c>
      <c r="I107" s="103"/>
      <c r="J107" s="103"/>
    </row>
    <row r="108" spans="1:12" x14ac:dyDescent="0.25">
      <c r="A108" s="114"/>
      <c r="B108" s="109">
        <v>0.41666666666666669</v>
      </c>
      <c r="C108" s="84" t="s">
        <v>398</v>
      </c>
      <c r="D108" s="84"/>
      <c r="E108" s="96">
        <f>$E$10</f>
        <v>3000</v>
      </c>
      <c r="F108" s="108">
        <v>1</v>
      </c>
      <c r="G108" s="85" t="s">
        <v>18</v>
      </c>
      <c r="H108" s="96">
        <f>IF(G108="VND",E108*F108,$E$3*E108*F108)</f>
        <v>540000</v>
      </c>
      <c r="I108" s="96"/>
      <c r="J108" s="96"/>
    </row>
    <row r="109" spans="1:12" x14ac:dyDescent="0.25">
      <c r="A109" s="114"/>
      <c r="B109" s="109">
        <v>0.45833333333333331</v>
      </c>
      <c r="C109" s="164" t="s">
        <v>155</v>
      </c>
      <c r="D109" s="164" t="s">
        <v>156</v>
      </c>
      <c r="E109" s="171">
        <v>0</v>
      </c>
      <c r="F109" s="108">
        <v>1</v>
      </c>
      <c r="G109" s="85" t="s">
        <v>111</v>
      </c>
      <c r="H109" s="96">
        <f>IF(G109="VND",E109*F109,$E$3*E109*F109)</f>
        <v>0</v>
      </c>
      <c r="I109" s="96"/>
      <c r="J109" s="96"/>
    </row>
    <row r="110" spans="1:12" s="106" customFormat="1" x14ac:dyDescent="0.25">
      <c r="A110" s="100">
        <v>0.45833333333333331</v>
      </c>
      <c r="B110" s="101">
        <v>0.5</v>
      </c>
      <c r="C110" s="172" t="s">
        <v>157</v>
      </c>
      <c r="D110" s="172" t="s">
        <v>158</v>
      </c>
      <c r="E110" s="173">
        <f>410</f>
        <v>410</v>
      </c>
      <c r="F110" s="104">
        <v>3</v>
      </c>
      <c r="G110" s="105" t="s">
        <v>111</v>
      </c>
      <c r="H110" s="103">
        <f>IF(G110="VND",E110*F110,$E$3*E110*F110)</f>
        <v>221400</v>
      </c>
      <c r="I110" s="103"/>
      <c r="J110" s="103"/>
    </row>
    <row r="111" spans="1:12" x14ac:dyDescent="0.25">
      <c r="A111" s="114"/>
      <c r="B111" s="174"/>
      <c r="C111" s="164" t="s">
        <v>161</v>
      </c>
      <c r="D111" s="164" t="s">
        <v>101</v>
      </c>
      <c r="E111" s="171">
        <v>700</v>
      </c>
      <c r="F111" s="108">
        <v>1</v>
      </c>
      <c r="G111" s="85" t="s">
        <v>111</v>
      </c>
      <c r="H111" s="96">
        <f>IF(G111="VND",E111*F111,$E$3*E111*F111)</f>
        <v>126000</v>
      </c>
      <c r="I111" s="96"/>
      <c r="J111" s="96"/>
    </row>
    <row r="112" spans="1:12" x14ac:dyDescent="0.25">
      <c r="A112" s="114"/>
      <c r="B112" s="174"/>
      <c r="C112" s="164" t="s">
        <v>399</v>
      </c>
      <c r="D112" s="175" t="s">
        <v>400</v>
      </c>
      <c r="E112" s="171"/>
      <c r="F112" s="108"/>
      <c r="G112" s="85"/>
      <c r="H112" s="96"/>
      <c r="I112" s="96"/>
      <c r="J112" s="96"/>
    </row>
    <row r="113" spans="1:10" s="106" customFormat="1" ht="31.5" x14ac:dyDescent="0.25">
      <c r="A113" s="102"/>
      <c r="B113" s="176">
        <v>0.52083333333333337</v>
      </c>
      <c r="C113" s="172" t="s">
        <v>162</v>
      </c>
      <c r="D113" s="172" t="s">
        <v>163</v>
      </c>
      <c r="E113" s="173">
        <v>1000</v>
      </c>
      <c r="F113" s="104">
        <v>3</v>
      </c>
      <c r="G113" s="105" t="s">
        <v>111</v>
      </c>
      <c r="H113" s="103">
        <f t="shared" ref="H113:H120" si="4">IF(G113="VND",E113*F113,$E$3*E113*F113)</f>
        <v>540000</v>
      </c>
      <c r="I113" s="103"/>
      <c r="J113" s="103"/>
    </row>
    <row r="114" spans="1:10" ht="31.5" x14ac:dyDescent="0.25">
      <c r="A114" s="84"/>
      <c r="B114" s="174">
        <v>0.58333333333333337</v>
      </c>
      <c r="C114" s="164" t="s">
        <v>164</v>
      </c>
      <c r="D114" s="164" t="s">
        <v>165</v>
      </c>
      <c r="E114" s="171">
        <v>370000</v>
      </c>
      <c r="F114" s="108">
        <v>3</v>
      </c>
      <c r="G114" s="85" t="s">
        <v>22</v>
      </c>
      <c r="H114" s="96">
        <f t="shared" si="4"/>
        <v>1110000</v>
      </c>
      <c r="I114" s="96">
        <v>1</v>
      </c>
      <c r="J114" s="152" t="s">
        <v>324</v>
      </c>
    </row>
    <row r="115" spans="1:10" x14ac:dyDescent="0.25">
      <c r="A115" s="84"/>
      <c r="B115" s="174"/>
      <c r="C115" s="164" t="s">
        <v>401</v>
      </c>
      <c r="D115" s="164"/>
      <c r="E115" s="171"/>
      <c r="F115" s="108"/>
      <c r="G115" s="85"/>
      <c r="H115" s="96"/>
      <c r="I115" s="96"/>
      <c r="J115" s="152"/>
    </row>
    <row r="116" spans="1:10" x14ac:dyDescent="0.25">
      <c r="A116" s="84"/>
      <c r="B116" s="174"/>
      <c r="C116" s="164"/>
      <c r="D116" s="164"/>
      <c r="E116" s="171"/>
      <c r="F116" s="108"/>
      <c r="G116" s="85"/>
      <c r="H116" s="96"/>
      <c r="I116" s="96"/>
      <c r="J116" s="152"/>
    </row>
    <row r="117" spans="1:10" s="106" customFormat="1" ht="31.5" x14ac:dyDescent="0.25">
      <c r="A117" s="102"/>
      <c r="B117" s="176">
        <v>0.625</v>
      </c>
      <c r="C117" s="172" t="s">
        <v>402</v>
      </c>
      <c r="D117" s="172" t="s">
        <v>403</v>
      </c>
      <c r="E117" s="173"/>
      <c r="F117" s="104"/>
      <c r="G117" s="105"/>
      <c r="H117" s="103">
        <f t="shared" si="4"/>
        <v>0</v>
      </c>
      <c r="I117" s="103"/>
      <c r="J117" s="103"/>
    </row>
    <row r="118" spans="1:10" x14ac:dyDescent="0.25">
      <c r="A118" s="84"/>
      <c r="B118" s="174"/>
      <c r="C118" s="164" t="s">
        <v>404</v>
      </c>
      <c r="D118" s="164"/>
      <c r="E118" s="171"/>
      <c r="F118" s="108"/>
      <c r="G118" s="85"/>
      <c r="H118" s="96"/>
      <c r="I118" s="96"/>
      <c r="J118" s="96"/>
    </row>
    <row r="119" spans="1:10" x14ac:dyDescent="0.25">
      <c r="A119" s="84"/>
      <c r="B119" s="174"/>
      <c r="C119" s="177" t="s">
        <v>405</v>
      </c>
      <c r="D119" s="164"/>
      <c r="E119" s="171">
        <v>190</v>
      </c>
      <c r="F119" s="108">
        <v>1</v>
      </c>
      <c r="G119" s="85" t="s">
        <v>111</v>
      </c>
      <c r="H119" s="96">
        <f t="shared" si="4"/>
        <v>34200</v>
      </c>
      <c r="I119" s="96"/>
      <c r="J119" s="96"/>
    </row>
    <row r="120" spans="1:10" s="180" customFormat="1" x14ac:dyDescent="0.25">
      <c r="A120" s="178"/>
      <c r="B120" s="179">
        <v>0.66666666666666663</v>
      </c>
      <c r="C120" s="178" t="s">
        <v>406</v>
      </c>
      <c r="D120" s="178"/>
      <c r="E120" s="112"/>
      <c r="F120" s="113"/>
      <c r="G120" s="105"/>
      <c r="H120" s="112">
        <f t="shared" si="4"/>
        <v>0</v>
      </c>
      <c r="I120" s="112"/>
      <c r="J120" s="112"/>
    </row>
    <row r="121" spans="1:10" s="182" customFormat="1" x14ac:dyDescent="0.25">
      <c r="A121" s="148"/>
      <c r="B121" s="162"/>
      <c r="C121" s="181" t="s">
        <v>407</v>
      </c>
      <c r="D121" s="116"/>
      <c r="E121" s="160"/>
      <c r="F121" s="161"/>
      <c r="G121" s="162"/>
      <c r="H121" s="160"/>
      <c r="I121" s="160"/>
      <c r="J121" s="160"/>
    </row>
    <row r="122" spans="1:10" s="182" customFormat="1" x14ac:dyDescent="0.25">
      <c r="A122" s="148"/>
      <c r="B122" s="162"/>
      <c r="C122" s="181" t="s">
        <v>408</v>
      </c>
      <c r="D122" s="116"/>
      <c r="E122" s="171">
        <v>190</v>
      </c>
      <c r="F122" s="108">
        <v>1</v>
      </c>
      <c r="G122" s="85" t="s">
        <v>111</v>
      </c>
      <c r="H122" s="96">
        <f t="shared" ref="H122" si="5">IF(G122="VND",E122*F122,$E$3*E122*F122)</f>
        <v>34200</v>
      </c>
      <c r="I122" s="96"/>
      <c r="J122" s="96"/>
    </row>
    <row r="123" spans="1:10" s="182" customFormat="1" x14ac:dyDescent="0.25">
      <c r="A123" s="148"/>
      <c r="B123" s="162"/>
      <c r="C123" s="181" t="s">
        <v>409</v>
      </c>
      <c r="D123" s="116"/>
      <c r="E123" s="160"/>
      <c r="F123" s="161"/>
      <c r="G123" s="162"/>
      <c r="H123" s="160"/>
      <c r="I123" s="160"/>
      <c r="J123" s="160"/>
    </row>
    <row r="124" spans="1:10" s="106" customFormat="1" ht="267.75" x14ac:dyDescent="0.25">
      <c r="A124" s="102"/>
      <c r="B124" s="101">
        <v>0.70833333333333337</v>
      </c>
      <c r="C124" s="102" t="s">
        <v>172</v>
      </c>
      <c r="D124" s="153" t="s">
        <v>410</v>
      </c>
      <c r="E124" s="103"/>
      <c r="F124" s="104"/>
      <c r="G124" s="105"/>
      <c r="H124" s="103"/>
      <c r="I124" s="105"/>
      <c r="J124" s="105"/>
    </row>
    <row r="125" spans="1:10" x14ac:dyDescent="0.25">
      <c r="A125" s="84"/>
      <c r="B125" s="109"/>
      <c r="C125" s="84"/>
      <c r="D125" s="84"/>
      <c r="E125" s="96"/>
      <c r="F125" s="108"/>
      <c r="G125" s="85"/>
      <c r="H125" s="96"/>
      <c r="I125" s="85"/>
      <c r="J125" s="85"/>
    </row>
    <row r="126" spans="1:10" x14ac:dyDescent="0.25">
      <c r="A126" s="84"/>
      <c r="B126" s="85"/>
      <c r="C126" s="84"/>
      <c r="D126" s="84"/>
      <c r="E126" s="96">
        <v>190</v>
      </c>
      <c r="F126" s="108">
        <v>3</v>
      </c>
      <c r="G126" s="85" t="s">
        <v>18</v>
      </c>
      <c r="H126" s="96">
        <f t="shared" ref="H126:H127" si="6">IF(G126="VND",E126*F126,$E$3*E126*F126)</f>
        <v>102600</v>
      </c>
      <c r="I126" s="96"/>
      <c r="J126" s="96"/>
    </row>
    <row r="127" spans="1:10" ht="31.5" x14ac:dyDescent="0.25">
      <c r="A127" s="84"/>
      <c r="B127" s="85"/>
      <c r="C127" s="157" t="s">
        <v>411</v>
      </c>
      <c r="D127" s="116" t="s">
        <v>412</v>
      </c>
      <c r="E127" s="96">
        <v>3500</v>
      </c>
      <c r="F127" s="108">
        <v>1</v>
      </c>
      <c r="G127" s="85" t="s">
        <v>18</v>
      </c>
      <c r="H127" s="96">
        <f t="shared" si="6"/>
        <v>630000</v>
      </c>
      <c r="I127" s="96"/>
      <c r="J127" s="96"/>
    </row>
    <row r="128" spans="1:10" x14ac:dyDescent="0.25">
      <c r="A128" s="84"/>
      <c r="B128" s="85"/>
      <c r="C128" s="84" t="s">
        <v>177</v>
      </c>
      <c r="D128" s="84"/>
      <c r="E128" s="96"/>
      <c r="F128" s="108"/>
      <c r="G128" s="85"/>
      <c r="H128" s="96"/>
      <c r="I128" s="85"/>
      <c r="J128" s="85"/>
    </row>
    <row r="129" spans="1:10" ht="31.5" x14ac:dyDescent="0.25">
      <c r="A129" s="84"/>
      <c r="B129" s="85"/>
      <c r="C129" s="84" t="s">
        <v>413</v>
      </c>
      <c r="D129" s="84" t="s">
        <v>414</v>
      </c>
      <c r="E129" s="96">
        <v>480</v>
      </c>
      <c r="F129" s="108">
        <v>3</v>
      </c>
      <c r="G129" s="85" t="s">
        <v>18</v>
      </c>
      <c r="H129" s="96">
        <f t="shared" ref="H129:H130" si="7">IF(G129="VND",E129*F129,$E$3*E129*F129)</f>
        <v>259200</v>
      </c>
      <c r="I129" s="96"/>
      <c r="J129" s="96"/>
    </row>
    <row r="130" spans="1:10" x14ac:dyDescent="0.25">
      <c r="A130" s="84"/>
      <c r="B130" s="85"/>
      <c r="C130" s="84" t="s">
        <v>415</v>
      </c>
      <c r="D130" s="84"/>
      <c r="E130" s="183">
        <f>3805000/3</f>
        <v>1268333.3333333333</v>
      </c>
      <c r="F130" s="184">
        <v>3</v>
      </c>
      <c r="G130" s="185" t="s">
        <v>22</v>
      </c>
      <c r="H130" s="183">
        <f t="shared" si="7"/>
        <v>3805000</v>
      </c>
      <c r="I130" s="96">
        <v>1</v>
      </c>
      <c r="J130" s="96" t="s">
        <v>326</v>
      </c>
    </row>
    <row r="131" spans="1:10" x14ac:dyDescent="0.25">
      <c r="A131" s="84"/>
      <c r="B131" s="85"/>
      <c r="C131" s="84"/>
      <c r="D131" s="84"/>
      <c r="E131" s="96"/>
      <c r="F131" s="108"/>
      <c r="G131" s="85"/>
      <c r="H131" s="96"/>
      <c r="I131" s="85"/>
      <c r="J131" s="85"/>
    </row>
    <row r="132" spans="1:10" s="15" customFormat="1" x14ac:dyDescent="0.25">
      <c r="A132" s="186" t="str">
        <f>"Ngày 7: "&amp;C13+6&amp;"/6/2025 - ĐI NARA &amp; CÔNG VIÊN IKOMA SANJO- VÀ MUA SẮM QUÀ Ở OSAKA"</f>
        <v>Ngày 7: 19/6/2025 - ĐI NARA &amp; CÔNG VIÊN IKOMA SANJO- VÀ MUA SẮM QUÀ Ở OSAKA</v>
      </c>
      <c r="B132" s="187"/>
      <c r="C132" s="187"/>
      <c r="D132" s="188"/>
      <c r="E132" s="189"/>
      <c r="F132" s="190"/>
      <c r="G132" s="187"/>
      <c r="H132" s="191"/>
      <c r="I132" s="187"/>
      <c r="J132" s="187"/>
    </row>
    <row r="133" spans="1:10" ht="31.5" x14ac:dyDescent="0.25">
      <c r="A133" s="157"/>
      <c r="B133" s="174">
        <v>0.29166666666666669</v>
      </c>
      <c r="C133" s="164" t="s">
        <v>179</v>
      </c>
      <c r="D133" s="164" t="s">
        <v>416</v>
      </c>
      <c r="E133" s="96">
        <f>$E$11</f>
        <v>1500</v>
      </c>
      <c r="F133" s="108">
        <v>1</v>
      </c>
      <c r="G133" s="85" t="s">
        <v>111</v>
      </c>
      <c r="H133" s="96">
        <f>IF(G133="VND",E133*F133,$E$3*E133*F133)</f>
        <v>270000</v>
      </c>
      <c r="I133" s="96"/>
      <c r="J133" s="96"/>
    </row>
    <row r="134" spans="1:10" s="106" customFormat="1" ht="31.5" x14ac:dyDescent="0.25">
      <c r="A134" s="125"/>
      <c r="B134" s="176">
        <v>0.375</v>
      </c>
      <c r="C134" s="172" t="s">
        <v>184</v>
      </c>
      <c r="D134" s="172" t="s">
        <v>185</v>
      </c>
      <c r="E134" s="173">
        <v>830</v>
      </c>
      <c r="F134" s="104">
        <v>3</v>
      </c>
      <c r="G134" s="105" t="s">
        <v>111</v>
      </c>
      <c r="H134" s="103">
        <f>IF(G134="VND",E134*F134,$E$3*E134*F134)</f>
        <v>448200</v>
      </c>
      <c r="I134" s="103"/>
      <c r="J134" s="103"/>
    </row>
    <row r="135" spans="1:10" x14ac:dyDescent="0.25">
      <c r="A135" s="157"/>
      <c r="B135" s="192"/>
      <c r="C135" s="164"/>
      <c r="D135" s="164" t="s">
        <v>186</v>
      </c>
      <c r="E135" s="171">
        <v>800</v>
      </c>
      <c r="F135" s="108">
        <v>3</v>
      </c>
      <c r="G135" s="85" t="s">
        <v>111</v>
      </c>
      <c r="H135" s="96">
        <f t="shared" ref="H135:H139" si="8">IF(G135="VND",E135*F135,$E$3*E135*F135)</f>
        <v>432000</v>
      </c>
      <c r="I135" s="96"/>
      <c r="J135" s="96"/>
    </row>
    <row r="136" spans="1:10" ht="31.5" x14ac:dyDescent="0.25">
      <c r="A136" s="157"/>
      <c r="B136" s="174">
        <v>0.41666666666666669</v>
      </c>
      <c r="C136" s="164" t="s">
        <v>417</v>
      </c>
      <c r="D136" s="164" t="s">
        <v>418</v>
      </c>
      <c r="E136" s="171">
        <v>0</v>
      </c>
      <c r="F136" s="108">
        <v>0</v>
      </c>
      <c r="G136" s="85" t="s">
        <v>111</v>
      </c>
      <c r="H136" s="96">
        <f t="shared" si="8"/>
        <v>0</v>
      </c>
      <c r="I136" s="96"/>
      <c r="J136" s="96"/>
    </row>
    <row r="137" spans="1:10" x14ac:dyDescent="0.25">
      <c r="A137" s="157"/>
      <c r="B137" s="174">
        <v>0.45833333333333331</v>
      </c>
      <c r="C137" s="164" t="s">
        <v>189</v>
      </c>
      <c r="D137" s="164" t="s">
        <v>190</v>
      </c>
      <c r="E137" s="171">
        <v>180</v>
      </c>
      <c r="F137" s="108">
        <v>3</v>
      </c>
      <c r="G137" s="85" t="s">
        <v>111</v>
      </c>
      <c r="H137" s="96">
        <f t="shared" si="8"/>
        <v>97200</v>
      </c>
      <c r="I137" s="96"/>
      <c r="J137" s="96"/>
    </row>
    <row r="138" spans="1:10" ht="31.5" x14ac:dyDescent="0.25">
      <c r="A138" s="157"/>
      <c r="B138" s="174">
        <v>0.47916666666666669</v>
      </c>
      <c r="C138" s="164" t="s">
        <v>191</v>
      </c>
      <c r="D138" s="193" t="s">
        <v>192</v>
      </c>
      <c r="E138" s="171">
        <f>1500*1.1</f>
        <v>1650.0000000000002</v>
      </c>
      <c r="F138" s="108">
        <v>3</v>
      </c>
      <c r="G138" s="85" t="s">
        <v>111</v>
      </c>
      <c r="H138" s="96">
        <f t="shared" si="8"/>
        <v>891000.00000000023</v>
      </c>
      <c r="I138" s="96"/>
      <c r="J138" s="96"/>
    </row>
    <row r="139" spans="1:10" ht="47.25" x14ac:dyDescent="0.25">
      <c r="A139" s="157"/>
      <c r="B139" s="174"/>
      <c r="C139" s="164" t="s">
        <v>419</v>
      </c>
      <c r="D139" s="193" t="s">
        <v>420</v>
      </c>
      <c r="E139" s="171">
        <f>360+500*2</f>
        <v>1360</v>
      </c>
      <c r="F139" s="108">
        <v>3</v>
      </c>
      <c r="G139" s="85" t="s">
        <v>18</v>
      </c>
      <c r="H139" s="96">
        <f t="shared" si="8"/>
        <v>734400</v>
      </c>
      <c r="I139" s="96"/>
      <c r="J139" s="96"/>
    </row>
    <row r="140" spans="1:10" x14ac:dyDescent="0.25">
      <c r="A140" s="157"/>
      <c r="B140" s="174"/>
      <c r="C140" s="164"/>
      <c r="D140" s="193"/>
      <c r="E140" s="171"/>
      <c r="F140" s="108"/>
      <c r="G140" s="85"/>
      <c r="H140" s="96"/>
      <c r="I140" s="96"/>
      <c r="J140" s="96"/>
    </row>
    <row r="141" spans="1:10" x14ac:dyDescent="0.25">
      <c r="A141" s="84"/>
      <c r="B141" s="109">
        <v>0.79166666666666663</v>
      </c>
      <c r="C141" s="84" t="s">
        <v>421</v>
      </c>
      <c r="D141" s="84"/>
      <c r="E141" s="96"/>
      <c r="F141" s="108"/>
      <c r="G141" s="85"/>
      <c r="H141" s="96"/>
      <c r="I141" s="85"/>
      <c r="J141" s="85"/>
    </row>
    <row r="142" spans="1:10" x14ac:dyDescent="0.25">
      <c r="A142" s="84"/>
      <c r="B142" s="109"/>
      <c r="C142" s="84" t="s">
        <v>198</v>
      </c>
      <c r="D142" s="84"/>
      <c r="E142" s="96">
        <v>490</v>
      </c>
      <c r="F142" s="108">
        <v>3</v>
      </c>
      <c r="G142" s="85" t="s">
        <v>18</v>
      </c>
      <c r="H142" s="96">
        <f t="shared" ref="H142" si="9">IF(G142="VND",E142*F142,$E$3*E142*F142)</f>
        <v>264600</v>
      </c>
      <c r="I142" s="96"/>
      <c r="J142" s="96"/>
    </row>
    <row r="143" spans="1:10" x14ac:dyDescent="0.25">
      <c r="A143" s="84"/>
      <c r="B143" s="109"/>
      <c r="C143" s="84" t="s">
        <v>73</v>
      </c>
      <c r="D143" s="159" t="s">
        <v>422</v>
      </c>
      <c r="E143" s="96">
        <f>115*15*1.1</f>
        <v>1897.5000000000002</v>
      </c>
      <c r="F143" s="108">
        <v>3</v>
      </c>
      <c r="G143" s="85" t="s">
        <v>111</v>
      </c>
      <c r="H143" s="96">
        <f>IF(G143="VND",E143*F143,$E$3*E143*F143)</f>
        <v>1024650.0000000002</v>
      </c>
      <c r="I143" s="96"/>
      <c r="J143" s="85"/>
    </row>
    <row r="144" spans="1:10" x14ac:dyDescent="0.25">
      <c r="A144" s="84"/>
      <c r="B144" s="109"/>
      <c r="C144" s="84" t="s">
        <v>423</v>
      </c>
      <c r="D144" s="84"/>
      <c r="E144" s="96"/>
      <c r="F144" s="108"/>
      <c r="G144" s="85"/>
      <c r="H144" s="96"/>
      <c r="I144" s="85"/>
      <c r="J144" s="85"/>
    </row>
    <row r="145" spans="1:12" x14ac:dyDescent="0.25">
      <c r="A145" s="84"/>
      <c r="B145" s="109">
        <v>0.875</v>
      </c>
      <c r="C145" s="84" t="s">
        <v>149</v>
      </c>
      <c r="D145" s="84"/>
      <c r="E145" s="96"/>
      <c r="F145" s="108"/>
      <c r="G145" s="85"/>
      <c r="H145" s="96"/>
      <c r="I145" s="85"/>
      <c r="J145" s="85"/>
    </row>
    <row r="146" spans="1:12" x14ac:dyDescent="0.25">
      <c r="A146" s="84"/>
      <c r="B146" s="109"/>
      <c r="C146" s="84" t="s">
        <v>169</v>
      </c>
      <c r="D146" s="84"/>
      <c r="E146" s="96">
        <v>190</v>
      </c>
      <c r="F146" s="108">
        <v>3</v>
      </c>
      <c r="G146" s="85" t="s">
        <v>18</v>
      </c>
      <c r="H146" s="96">
        <f t="shared" ref="H146" si="10">IF(G146="VND",E146*F146,$E$3*E146*F146)</f>
        <v>102600</v>
      </c>
      <c r="I146" s="96"/>
      <c r="J146" s="96"/>
    </row>
    <row r="147" spans="1:12" x14ac:dyDescent="0.25">
      <c r="A147" s="84"/>
      <c r="B147" s="109"/>
      <c r="C147" s="84" t="s">
        <v>181</v>
      </c>
      <c r="D147" s="84"/>
      <c r="E147" s="96"/>
      <c r="F147" s="108"/>
      <c r="G147" s="85"/>
      <c r="H147" s="96"/>
      <c r="I147" s="85"/>
      <c r="J147" s="85"/>
    </row>
    <row r="148" spans="1:12" x14ac:dyDescent="0.25">
      <c r="A148" s="194" t="str">
        <f>"Ngày 8: "&amp;C13+7&amp;"/6/2025 - ĐI CHÙA KATSUOJI - CẦU NGUYỆN"</f>
        <v>Ngày 8: 20/6/2025 - ĐI CHÙA KATSUOJI - CẦU NGUYỆN</v>
      </c>
      <c r="B148" s="195"/>
      <c r="C148" s="195"/>
      <c r="D148" s="74"/>
      <c r="E148" s="196"/>
      <c r="F148" s="76"/>
      <c r="G148" s="195"/>
      <c r="H148" s="75"/>
      <c r="I148" s="195"/>
      <c r="J148" s="195"/>
      <c r="K148" s="15"/>
      <c r="L148" s="15"/>
    </row>
    <row r="149" spans="1:12" x14ac:dyDescent="0.25">
      <c r="A149" s="84"/>
      <c r="B149" s="174">
        <v>0.29166666666666669</v>
      </c>
      <c r="C149" s="164" t="s">
        <v>179</v>
      </c>
      <c r="D149" s="164" t="s">
        <v>183</v>
      </c>
      <c r="E149" s="96">
        <f>$E$11</f>
        <v>1500</v>
      </c>
      <c r="F149" s="108">
        <v>1</v>
      </c>
      <c r="G149" s="85" t="s">
        <v>111</v>
      </c>
      <c r="H149" s="96">
        <f>IF(G149="VND",E149*F149,$E$3*E149*F149)</f>
        <v>270000</v>
      </c>
      <c r="I149" s="85"/>
      <c r="J149" s="85"/>
    </row>
    <row r="150" spans="1:12" x14ac:dyDescent="0.25">
      <c r="A150" s="114">
        <v>0.375</v>
      </c>
      <c r="B150" s="174">
        <v>0.41666666666666669</v>
      </c>
      <c r="C150" s="164" t="s">
        <v>424</v>
      </c>
      <c r="D150" s="164" t="s">
        <v>425</v>
      </c>
      <c r="E150" s="171">
        <v>1330</v>
      </c>
      <c r="F150" s="108">
        <v>3</v>
      </c>
      <c r="G150" s="85" t="s">
        <v>111</v>
      </c>
      <c r="H150" s="96">
        <f>IF(G150="VND",E150*F150,$E$3*E150*F150)</f>
        <v>718200</v>
      </c>
      <c r="I150" s="85"/>
      <c r="J150" s="85"/>
    </row>
    <row r="151" spans="1:12" ht="31.5" x14ac:dyDescent="0.25">
      <c r="A151" s="114"/>
      <c r="B151" s="174"/>
      <c r="C151" s="164" t="s">
        <v>426</v>
      </c>
      <c r="D151" s="193" t="s">
        <v>427</v>
      </c>
      <c r="E151" s="171">
        <v>1000</v>
      </c>
      <c r="F151" s="108">
        <v>3</v>
      </c>
      <c r="G151" s="85" t="s">
        <v>18</v>
      </c>
      <c r="H151" s="96">
        <f>IF(G151="VND",E151*F151,$E$3*E151*F151)</f>
        <v>540000</v>
      </c>
      <c r="I151" s="85"/>
      <c r="J151" s="85"/>
    </row>
    <row r="152" spans="1:12" x14ac:dyDescent="0.25">
      <c r="A152" s="114">
        <v>0.54166666666666663</v>
      </c>
      <c r="B152" s="109">
        <v>0.58333333333333337</v>
      </c>
      <c r="C152" s="84" t="s">
        <v>428</v>
      </c>
      <c r="D152" s="84"/>
      <c r="E152" s="96">
        <v>1330</v>
      </c>
      <c r="F152" s="108">
        <v>3</v>
      </c>
      <c r="G152" s="85" t="s">
        <v>111</v>
      </c>
      <c r="H152" s="96">
        <f>IF(G152="VND",E152*F152,$E$3*E152*F152)</f>
        <v>718200</v>
      </c>
      <c r="I152" s="85"/>
      <c r="J152" s="85"/>
    </row>
    <row r="153" spans="1:12" x14ac:dyDescent="0.25">
      <c r="A153" s="84"/>
      <c r="B153" s="109"/>
      <c r="C153" s="84" t="s">
        <v>429</v>
      </c>
      <c r="D153" s="84"/>
      <c r="E153" s="96">
        <v>1298</v>
      </c>
      <c r="F153" s="108">
        <v>3</v>
      </c>
      <c r="G153" s="85" t="s">
        <v>18</v>
      </c>
      <c r="H153" s="96">
        <f>IF(G153="VND",E153*F153,$E$3*E153*F153)</f>
        <v>700920</v>
      </c>
      <c r="I153" s="85"/>
      <c r="J153" s="85"/>
    </row>
    <row r="154" spans="1:12" x14ac:dyDescent="0.25">
      <c r="A154" s="84"/>
      <c r="B154" s="109"/>
      <c r="C154" s="84" t="s">
        <v>430</v>
      </c>
      <c r="D154" s="84"/>
      <c r="E154" s="96"/>
      <c r="F154" s="108"/>
      <c r="G154" s="85"/>
      <c r="H154" s="96"/>
      <c r="I154" s="85"/>
      <c r="J154" s="85"/>
    </row>
    <row r="155" spans="1:12" s="15" customFormat="1" x14ac:dyDescent="0.25">
      <c r="A155" s="197" t="str">
        <f>"Ngày 9: "&amp;C13+8&amp;"/6/2025 - ĐI VỀ HÀ NỘI"</f>
        <v>Ngày 9: 21/6/2025 - ĐI VỀ HÀ NỘI</v>
      </c>
      <c r="B155" s="195"/>
      <c r="C155" s="195"/>
      <c r="D155" s="74"/>
      <c r="E155" s="196"/>
      <c r="F155" s="76"/>
      <c r="G155" s="195"/>
      <c r="H155" s="75"/>
      <c r="I155" s="195"/>
      <c r="J155" s="195"/>
    </row>
    <row r="156" spans="1:12" x14ac:dyDescent="0.25">
      <c r="A156" s="84"/>
      <c r="B156" s="85"/>
      <c r="C156" s="84" t="s">
        <v>317</v>
      </c>
      <c r="D156" s="84" t="s">
        <v>318</v>
      </c>
      <c r="E156" s="96"/>
      <c r="F156" s="108"/>
      <c r="G156" s="85"/>
      <c r="H156" s="96"/>
      <c r="I156" s="85"/>
      <c r="J156" s="85"/>
    </row>
    <row r="157" spans="1:12" x14ac:dyDescent="0.25">
      <c r="A157" s="84"/>
      <c r="B157" s="85"/>
      <c r="C157" s="84" t="s">
        <v>203</v>
      </c>
      <c r="D157" s="84"/>
      <c r="E157" s="96">
        <v>700</v>
      </c>
      <c r="F157" s="108">
        <v>2</v>
      </c>
      <c r="G157" s="85" t="s">
        <v>18</v>
      </c>
      <c r="H157" s="96">
        <f>IF(G157="VND",E157*F157,$E$3*E157*F157)</f>
        <v>252000</v>
      </c>
      <c r="I157" s="96"/>
      <c r="J157" s="96"/>
    </row>
    <row r="158" spans="1:12" x14ac:dyDescent="0.25">
      <c r="A158" s="84"/>
      <c r="B158" s="109">
        <v>0.29166666666666669</v>
      </c>
      <c r="C158" s="84" t="s">
        <v>183</v>
      </c>
      <c r="D158" s="84"/>
      <c r="E158" s="96">
        <f>$E$11</f>
        <v>1500</v>
      </c>
      <c r="F158" s="108">
        <v>1</v>
      </c>
      <c r="G158" s="85" t="s">
        <v>18</v>
      </c>
      <c r="H158" s="96">
        <f>IF(G158="VND",E158*F158,$E$3*E158*F158)</f>
        <v>270000</v>
      </c>
      <c r="I158" s="96"/>
      <c r="J158" s="96"/>
    </row>
    <row r="159" spans="1:12" s="106" customFormat="1" x14ac:dyDescent="0.25">
      <c r="A159" s="102"/>
      <c r="B159" s="176">
        <v>0.45833333333333331</v>
      </c>
      <c r="C159" s="172" t="s">
        <v>208</v>
      </c>
      <c r="D159" s="168" t="s">
        <v>431</v>
      </c>
      <c r="E159" s="103">
        <v>1600</v>
      </c>
      <c r="F159" s="104">
        <v>3</v>
      </c>
      <c r="G159" s="105" t="s">
        <v>18</v>
      </c>
      <c r="H159" s="103">
        <f t="shared" ref="H159:H163" si="11">IF(G159="VND",E159*F159,$E$3*E159*F159)</f>
        <v>864000</v>
      </c>
      <c r="I159" s="103"/>
      <c r="J159" s="103"/>
    </row>
    <row r="160" spans="1:12" x14ac:dyDescent="0.25">
      <c r="A160" s="84"/>
      <c r="B160" s="174">
        <v>0.5</v>
      </c>
      <c r="C160" s="164" t="s">
        <v>179</v>
      </c>
      <c r="D160" s="84" t="s">
        <v>210</v>
      </c>
      <c r="E160" s="171">
        <v>190</v>
      </c>
      <c r="F160" s="108">
        <v>3</v>
      </c>
      <c r="G160" s="85" t="s">
        <v>18</v>
      </c>
      <c r="H160" s="96">
        <f t="shared" si="11"/>
        <v>102600</v>
      </c>
      <c r="I160" s="96"/>
      <c r="J160" s="96"/>
    </row>
    <row r="161" spans="1:10" s="106" customFormat="1" x14ac:dyDescent="0.25">
      <c r="A161" s="102"/>
      <c r="B161" s="176">
        <v>0.5625</v>
      </c>
      <c r="C161" s="172" t="s">
        <v>211</v>
      </c>
      <c r="D161" s="102" t="s">
        <v>212</v>
      </c>
      <c r="E161" s="173">
        <v>970</v>
      </c>
      <c r="F161" s="104">
        <v>3</v>
      </c>
      <c r="G161" s="105" t="s">
        <v>18</v>
      </c>
      <c r="H161" s="103">
        <f t="shared" si="11"/>
        <v>523800</v>
      </c>
      <c r="I161" s="103"/>
      <c r="J161" s="103"/>
    </row>
    <row r="162" spans="1:10" x14ac:dyDescent="0.25">
      <c r="A162" s="114">
        <v>0.64583333333333337</v>
      </c>
      <c r="B162" s="109">
        <v>0.77083333333333337</v>
      </c>
      <c r="C162" s="84"/>
      <c r="D162" s="84" t="s">
        <v>214</v>
      </c>
      <c r="E162" s="96">
        <f>(11315000)/3</f>
        <v>3771666.6666666665</v>
      </c>
      <c r="F162" s="198">
        <v>3</v>
      </c>
      <c r="G162" s="199" t="s">
        <v>22</v>
      </c>
      <c r="H162" s="169">
        <f>IF(G162="VND",E162*F162,$E$3*E162*F162)</f>
        <v>11315000</v>
      </c>
      <c r="I162" s="200">
        <v>1</v>
      </c>
      <c r="J162" s="200"/>
    </row>
    <row r="163" spans="1:10" x14ac:dyDescent="0.25">
      <c r="A163" s="114"/>
      <c r="B163" s="109"/>
      <c r="C163" s="84"/>
      <c r="D163" s="84"/>
      <c r="E163" s="201">
        <v>300000</v>
      </c>
      <c r="F163" s="198">
        <v>1</v>
      </c>
      <c r="G163" s="199" t="s">
        <v>22</v>
      </c>
      <c r="H163" s="96">
        <f t="shared" si="11"/>
        <v>300000</v>
      </c>
      <c r="I163" s="200"/>
      <c r="J163" s="200"/>
    </row>
    <row r="164" spans="1:10" x14ac:dyDescent="0.25">
      <c r="A164" s="199"/>
      <c r="B164" s="199"/>
      <c r="C164" s="84"/>
      <c r="D164" s="84"/>
      <c r="E164" s="201"/>
      <c r="F164" s="198"/>
      <c r="G164" s="199"/>
      <c r="H164" s="201"/>
      <c r="I164" s="199"/>
      <c r="J164" s="199"/>
    </row>
    <row r="165" spans="1:10" x14ac:dyDescent="0.25">
      <c r="B165" s="199"/>
      <c r="C165" s="84"/>
      <c r="D165" s="84"/>
      <c r="E165" s="169" t="s">
        <v>215</v>
      </c>
      <c r="H165" s="169">
        <f>SUM(H5:H164)</f>
        <v>87122140</v>
      </c>
      <c r="I165" s="204">
        <f>SUMIF($I$3:$I$162,"&gt;0",$H$3:$H$162)</f>
        <v>51272714</v>
      </c>
      <c r="J165" s="204"/>
    </row>
    <row r="166" spans="1:10" x14ac:dyDescent="0.25">
      <c r="B166" s="199"/>
      <c r="C166" s="84"/>
      <c r="D166" s="84"/>
      <c r="E166" s="205" t="s">
        <v>0</v>
      </c>
      <c r="F166" s="206"/>
      <c r="G166" s="130"/>
      <c r="H166" s="205">
        <f>H165/3</f>
        <v>29040713.333333332</v>
      </c>
      <c r="I166" s="207">
        <f>I165/3</f>
        <v>17090904.666666668</v>
      </c>
      <c r="J166" s="207"/>
    </row>
  </sheetData>
  <mergeCells count="8">
    <mergeCell ref="C83:C84"/>
    <mergeCell ref="A13:B13"/>
    <mergeCell ref="A2:XFD2"/>
    <mergeCell ref="C10:D10"/>
    <mergeCell ref="C34:D34"/>
    <mergeCell ref="C35:D35"/>
    <mergeCell ref="C48:D48"/>
    <mergeCell ref="C36:D36"/>
  </mergeCells>
  <hyperlinks>
    <hyperlink ref="L5" r:id="rId1" xr:uid="{99A5A5B5-B7B2-EB4A-9300-08A55A84BB79}"/>
    <hyperlink ref="D5" r:id="rId2" xr:uid="{C86A4837-1D0E-0D4B-85C4-FE547F724FF8}"/>
    <hyperlink ref="D55" r:id="rId3" xr:uid="{3FD3B04C-BA6A-154D-A418-DC9ADB12B42D}"/>
    <hyperlink ref="D37" r:id="rId4" xr:uid="{531CEFCD-B062-3E4D-BDDF-D62EAE97344D}"/>
    <hyperlink ref="D89" r:id="rId5" display="vé tàu kyoto" xr:uid="{256E4A36-3870-C346-A44E-D94A89069F49}"/>
    <hyperlink ref="D112" r:id="rId6" display="https://maps.google.com/maps?saddr=&amp;daddr=9-20%20Kakudacho,%20Kita-Ku%20Shin%20Umeda%20Shokudogai,%20Osaka%20530-0017%20Osaka%20Prefecture@34.703644,135.49794" xr:uid="{76761168-37E3-B746-A4A3-16F9F18B0E42}"/>
    <hyperlink ref="D39" r:id="rId7" display="ichiran ramen shibuya - ăn Mỳ suất 890 Yen + 120 Yen mỳ thêm" xr:uid="{E43DE0D6-5C83-4EA9-BD8A-F0BBC1CD7D93}"/>
    <hyperlink ref="D40" r:id="rId8" location="/media/1688898/?albumid=-184&amp;type=ALL_INCLUDING_RESTRICTED&amp;category=-184" xr:uid="{AC670097-C7DD-4FC2-823F-8F5B8371A825}"/>
    <hyperlink ref="D75" r:id="rId9" display="Tendon tenya ginza" xr:uid="{61803AE4-CB67-45B4-9EFE-AA4EDA84379F}"/>
    <hyperlink ref="D94" r:id="rId10" xr:uid="{9491989B-3F4F-F440-AF70-43066CF64B4E}"/>
    <hyperlink ref="D107" r:id="rId11" display="Mở cửa tới 8h tối" xr:uid="{A1656535-7D49-2B4B-836E-408903D06AD5}"/>
    <hyperlink ref="D101" r:id="rId12" xr:uid="{CDCBBF7C-EA03-4A43-91E6-2CA61EEAF3DD}"/>
    <hyperlink ref="D138" r:id="rId13" xr:uid="{03E88865-C1D9-BA4E-8C2D-D35E6B8602A6}"/>
    <hyperlink ref="D143" r:id="rId14" display="Kura sushi" xr:uid="{682938D1-578C-9344-9768-8D89B83EECB7}"/>
    <hyperlink ref="D159" r:id="rId15" xr:uid="{CE6463E8-BB91-EE42-91EC-2C43F216DD32}"/>
    <hyperlink ref="D151" r:id="rId16" xr:uid="{D3E8680A-8733-4A04-B517-55C40C761BC7}"/>
    <hyperlink ref="J90" r:id="rId17" xr:uid="{81E5CAB4-569B-4947-AD5C-3B0AD3282FDD}"/>
    <hyperlink ref="D26" r:id="rId18" display="coco curry house (shinjuku station)" xr:uid="{0E03B116-5BE3-4C47-9393-BAB75BA430E6}"/>
    <hyperlink ref="D52" r:id="rId19" display="Gyukatsu Motomura Shibuya (130G) Gọi 1 loại 130 gram - Thịt chiên sù nướng đá" xr:uid="{036643EC-0D20-4164-BFD4-449CE1627079}"/>
    <hyperlink ref="D139" r:id="rId20" xr:uid="{2572437C-E0B6-458E-AB0E-BA9A489A03DE}"/>
  </hyperlinks>
  <pageMargins left="0.25" right="0.25" top="0.75" bottom="0.75" header="0.3" footer="0.3"/>
  <pageSetup paperSize="9" scale="99" fitToHeight="0" orientation="landscape" r:id="rId21"/>
  <rowBreaks count="7" manualBreakCount="7">
    <brk id="31" max="16383" man="1"/>
    <brk id="54" max="16383" man="1"/>
    <brk id="69" max="16383" man="1"/>
    <brk id="86" max="16383" man="1"/>
    <brk id="103" max="16383" man="1"/>
    <brk id="131" max="16383" man="1"/>
    <brk id="147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63C89-13B0-6F49-A62C-146D0A6B34C6}">
  <sheetPr>
    <pageSetUpPr fitToPage="1"/>
  </sheetPr>
  <dimension ref="A1:F55"/>
  <sheetViews>
    <sheetView tabSelected="1" topLeftCell="A17" zoomScale="130" zoomScaleNormal="130" workbookViewId="0">
      <selection activeCell="D47" sqref="D47"/>
    </sheetView>
  </sheetViews>
  <sheetFormatPr defaultColWidth="8.85546875" defaultRowHeight="15" x14ac:dyDescent="0.25"/>
  <cols>
    <col min="1" max="1" width="18" style="216" customWidth="1"/>
    <col min="2" max="2" width="28" style="216" customWidth="1"/>
    <col min="3" max="3" width="81" style="216" customWidth="1"/>
    <col min="4" max="4" width="38" style="216" bestFit="1" customWidth="1"/>
    <col min="5" max="5" width="26.140625" style="216" customWidth="1"/>
    <col min="6" max="16384" width="8.85546875" style="216"/>
  </cols>
  <sheetData>
    <row r="1" spans="1:6" x14ac:dyDescent="0.25">
      <c r="A1" s="236" t="s">
        <v>432</v>
      </c>
      <c r="B1" s="236" t="s">
        <v>433</v>
      </c>
      <c r="C1" s="236" t="s">
        <v>434</v>
      </c>
      <c r="D1" s="236" t="s">
        <v>435</v>
      </c>
      <c r="E1" s="236" t="s">
        <v>436</v>
      </c>
      <c r="F1" s="237" t="s">
        <v>437</v>
      </c>
    </row>
    <row r="2" spans="1:6" x14ac:dyDescent="0.25">
      <c r="A2" s="255" t="s">
        <v>438</v>
      </c>
      <c r="B2" s="256"/>
      <c r="C2" s="256"/>
      <c r="D2" s="238"/>
      <c r="E2" s="238"/>
      <c r="F2" s="239"/>
    </row>
    <row r="3" spans="1:6" x14ac:dyDescent="0.25">
      <c r="A3" s="240" t="s">
        <v>439</v>
      </c>
      <c r="B3" s="241" t="s">
        <v>440</v>
      </c>
      <c r="C3" s="242" t="s">
        <v>441</v>
      </c>
      <c r="D3" s="242"/>
      <c r="E3" s="250"/>
      <c r="F3" s="239"/>
    </row>
    <row r="4" spans="1:6" ht="30" x14ac:dyDescent="0.25">
      <c r="A4" s="243" t="s">
        <v>442</v>
      </c>
      <c r="B4" s="244" t="s">
        <v>443</v>
      </c>
      <c r="C4" s="245" t="s">
        <v>443</v>
      </c>
      <c r="D4" s="245" t="s">
        <v>444</v>
      </c>
      <c r="E4" s="251"/>
      <c r="F4" s="246" t="s">
        <v>445</v>
      </c>
    </row>
    <row r="5" spans="1:6" x14ac:dyDescent="0.25">
      <c r="A5" s="240" t="s">
        <v>446</v>
      </c>
      <c r="B5" s="241" t="s">
        <v>447</v>
      </c>
      <c r="C5" s="242" t="s">
        <v>448</v>
      </c>
      <c r="D5" s="242" t="s">
        <v>449</v>
      </c>
      <c r="E5" s="252" t="s">
        <v>450</v>
      </c>
      <c r="F5" s="247" t="s">
        <v>451</v>
      </c>
    </row>
    <row r="6" spans="1:6" x14ac:dyDescent="0.25">
      <c r="A6" s="243" t="s">
        <v>452</v>
      </c>
      <c r="B6" s="244" t="s">
        <v>453</v>
      </c>
      <c r="C6" s="245" t="s">
        <v>454</v>
      </c>
      <c r="D6" s="245" t="s">
        <v>455</v>
      </c>
      <c r="E6" s="252" t="s">
        <v>456</v>
      </c>
      <c r="F6" s="246" t="s">
        <v>457</v>
      </c>
    </row>
    <row r="7" spans="1:6" x14ac:dyDescent="0.25">
      <c r="A7" s="240" t="s">
        <v>458</v>
      </c>
      <c r="B7" s="244" t="s">
        <v>459</v>
      </c>
      <c r="C7" s="245" t="s">
        <v>460</v>
      </c>
      <c r="D7" s="245"/>
      <c r="E7" s="251"/>
      <c r="F7" s="239"/>
    </row>
    <row r="8" spans="1:6" x14ac:dyDescent="0.25">
      <c r="A8" s="243" t="s">
        <v>461</v>
      </c>
      <c r="B8" s="244" t="s">
        <v>462</v>
      </c>
      <c r="C8" s="245" t="s">
        <v>463</v>
      </c>
      <c r="D8" s="245" t="s">
        <v>464</v>
      </c>
      <c r="E8" s="252" t="s">
        <v>465</v>
      </c>
      <c r="F8" s="246" t="s">
        <v>466</v>
      </c>
    </row>
    <row r="9" spans="1:6" x14ac:dyDescent="0.25">
      <c r="A9" s="240" t="s">
        <v>467</v>
      </c>
      <c r="B9" s="241" t="s">
        <v>468</v>
      </c>
      <c r="C9" s="242" t="s">
        <v>469</v>
      </c>
      <c r="D9" s="242" t="s">
        <v>470</v>
      </c>
      <c r="E9" s="252" t="s">
        <v>471</v>
      </c>
      <c r="F9" s="246" t="s">
        <v>472</v>
      </c>
    </row>
    <row r="10" spans="1:6" x14ac:dyDescent="0.25">
      <c r="A10" s="243" t="s">
        <v>473</v>
      </c>
      <c r="B10" s="244" t="s">
        <v>474</v>
      </c>
      <c r="C10" s="245" t="s">
        <v>475</v>
      </c>
      <c r="D10" s="245"/>
      <c r="E10" s="252" t="s">
        <v>476</v>
      </c>
      <c r="F10" s="239"/>
    </row>
    <row r="11" spans="1:6" x14ac:dyDescent="0.25">
      <c r="A11" s="249" t="s">
        <v>595</v>
      </c>
      <c r="B11" s="241" t="s">
        <v>477</v>
      </c>
      <c r="C11" s="242" t="s">
        <v>478</v>
      </c>
      <c r="D11" s="242"/>
      <c r="E11" s="250"/>
      <c r="F11" s="239"/>
    </row>
    <row r="12" spans="1:6" x14ac:dyDescent="0.25">
      <c r="A12" s="253" t="s">
        <v>479</v>
      </c>
      <c r="B12" s="254"/>
      <c r="C12" s="254"/>
      <c r="D12" s="239"/>
      <c r="E12" s="239"/>
      <c r="F12" s="239"/>
    </row>
    <row r="13" spans="1:6" x14ac:dyDescent="0.25">
      <c r="A13" s="240" t="s">
        <v>480</v>
      </c>
      <c r="B13" s="241" t="s">
        <v>481</v>
      </c>
      <c r="C13" s="242" t="s">
        <v>576</v>
      </c>
      <c r="D13" s="242" t="s">
        <v>482</v>
      </c>
      <c r="E13" s="8" t="s">
        <v>596</v>
      </c>
      <c r="F13" s="246" t="s">
        <v>483</v>
      </c>
    </row>
    <row r="14" spans="1:6" ht="30" x14ac:dyDescent="0.25">
      <c r="A14" s="243" t="s">
        <v>484</v>
      </c>
      <c r="B14" s="244" t="s">
        <v>482</v>
      </c>
      <c r="C14" s="245" t="s">
        <v>485</v>
      </c>
      <c r="D14" s="245"/>
      <c r="E14" s="251"/>
      <c r="F14" s="239"/>
    </row>
    <row r="15" spans="1:6" x14ac:dyDescent="0.25">
      <c r="A15" s="240" t="s">
        <v>486</v>
      </c>
      <c r="B15" s="241" t="s">
        <v>474</v>
      </c>
      <c r="C15" s="242" t="s">
        <v>487</v>
      </c>
      <c r="D15" s="242" t="s">
        <v>488</v>
      </c>
      <c r="E15" s="8" t="s">
        <v>597</v>
      </c>
      <c r="F15" s="246" t="s">
        <v>489</v>
      </c>
    </row>
    <row r="16" spans="1:6" x14ac:dyDescent="0.25">
      <c r="A16" s="248">
        <v>0.875</v>
      </c>
      <c r="B16" s="241" t="s">
        <v>477</v>
      </c>
      <c r="C16" s="242" t="s">
        <v>478</v>
      </c>
      <c r="D16" s="245"/>
      <c r="E16" s="251"/>
      <c r="F16" s="239"/>
    </row>
    <row r="17" spans="1:6" x14ac:dyDescent="0.25">
      <c r="A17" s="253" t="s">
        <v>490</v>
      </c>
      <c r="B17" s="254"/>
      <c r="C17" s="254"/>
      <c r="D17" s="239"/>
      <c r="E17" s="239"/>
      <c r="F17" s="239"/>
    </row>
    <row r="18" spans="1:6" x14ac:dyDescent="0.25">
      <c r="A18" s="240" t="s">
        <v>491</v>
      </c>
      <c r="B18" s="241" t="s">
        <v>492</v>
      </c>
      <c r="C18" s="242" t="s">
        <v>493</v>
      </c>
      <c r="D18" s="242"/>
      <c r="E18" s="250"/>
      <c r="F18" s="239"/>
    </row>
    <row r="19" spans="1:6" ht="30" x14ac:dyDescent="0.25">
      <c r="A19" s="243" t="s">
        <v>494</v>
      </c>
      <c r="B19" s="244" t="s">
        <v>495</v>
      </c>
      <c r="C19" s="245" t="s">
        <v>496</v>
      </c>
      <c r="D19" s="245"/>
      <c r="E19" s="8" t="s">
        <v>604</v>
      </c>
      <c r="F19" s="239"/>
    </row>
    <row r="20" spans="1:6" x14ac:dyDescent="0.25">
      <c r="A20" s="240" t="s">
        <v>497</v>
      </c>
      <c r="B20" s="241" t="s">
        <v>453</v>
      </c>
      <c r="C20" s="242" t="s">
        <v>498</v>
      </c>
      <c r="D20" s="242" t="s">
        <v>577</v>
      </c>
      <c r="E20" s="8" t="s">
        <v>603</v>
      </c>
      <c r="F20" s="246" t="s">
        <v>499</v>
      </c>
    </row>
    <row r="21" spans="1:6" x14ac:dyDescent="0.25">
      <c r="A21" s="243" t="s">
        <v>500</v>
      </c>
      <c r="B21" s="244" t="s">
        <v>501</v>
      </c>
      <c r="C21" s="245" t="s">
        <v>502</v>
      </c>
      <c r="D21" s="245"/>
      <c r="E21" s="251"/>
      <c r="F21" s="239"/>
    </row>
    <row r="22" spans="1:6" x14ac:dyDescent="0.25">
      <c r="A22" s="240" t="s">
        <v>503</v>
      </c>
      <c r="B22" s="241" t="s">
        <v>504</v>
      </c>
      <c r="C22" s="242" t="s">
        <v>505</v>
      </c>
      <c r="D22" s="242" t="s">
        <v>506</v>
      </c>
      <c r="E22" s="8" t="s">
        <v>602</v>
      </c>
      <c r="F22" s="246" t="s">
        <v>507</v>
      </c>
    </row>
    <row r="23" spans="1:6" x14ac:dyDescent="0.25">
      <c r="A23" s="243" t="s">
        <v>473</v>
      </c>
      <c r="B23" s="244" t="s">
        <v>474</v>
      </c>
      <c r="C23" s="245" t="s">
        <v>508</v>
      </c>
      <c r="D23" s="245" t="s">
        <v>578</v>
      </c>
      <c r="E23" s="251"/>
      <c r="F23" s="8" t="s">
        <v>509</v>
      </c>
    </row>
    <row r="24" spans="1:6" x14ac:dyDescent="0.25">
      <c r="A24" s="253" t="s">
        <v>510</v>
      </c>
      <c r="B24" s="254"/>
      <c r="C24" s="254"/>
      <c r="D24" s="239"/>
      <c r="E24" s="239"/>
      <c r="F24" s="239"/>
    </row>
    <row r="25" spans="1:6" ht="30" x14ac:dyDescent="0.25">
      <c r="A25" s="240" t="s">
        <v>511</v>
      </c>
      <c r="B25" s="241" t="s">
        <v>512</v>
      </c>
      <c r="C25" s="242" t="s">
        <v>584</v>
      </c>
      <c r="D25" s="242" t="s">
        <v>579</v>
      </c>
      <c r="E25" s="8" t="s">
        <v>605</v>
      </c>
      <c r="F25" s="239" t="s">
        <v>571</v>
      </c>
    </row>
    <row r="26" spans="1:6" x14ac:dyDescent="0.25">
      <c r="A26" s="243" t="s">
        <v>513</v>
      </c>
      <c r="B26" s="244" t="s">
        <v>453</v>
      </c>
      <c r="C26" s="245" t="s">
        <v>585</v>
      </c>
      <c r="D26" s="245" t="s">
        <v>575</v>
      </c>
      <c r="E26" s="8" t="s">
        <v>606</v>
      </c>
      <c r="F26" s="239" t="s">
        <v>572</v>
      </c>
    </row>
    <row r="27" spans="1:6" ht="30" x14ac:dyDescent="0.25">
      <c r="A27" s="240" t="s">
        <v>514</v>
      </c>
      <c r="B27" s="241" t="s">
        <v>515</v>
      </c>
      <c r="C27" s="242" t="s">
        <v>516</v>
      </c>
      <c r="D27" s="242" t="s">
        <v>574</v>
      </c>
      <c r="E27" s="250"/>
      <c r="F27" s="239" t="s">
        <v>573</v>
      </c>
    </row>
    <row r="28" spans="1:6" x14ac:dyDescent="0.25">
      <c r="A28" s="243" t="s">
        <v>503</v>
      </c>
      <c r="B28" s="244" t="s">
        <v>504</v>
      </c>
      <c r="C28" s="245" t="s">
        <v>586</v>
      </c>
      <c r="D28" s="245" t="s">
        <v>580</v>
      </c>
      <c r="E28" s="8" t="s">
        <v>599</v>
      </c>
      <c r="F28" s="239" t="s">
        <v>582</v>
      </c>
    </row>
    <row r="29" spans="1:6" x14ac:dyDescent="0.25">
      <c r="A29" s="240" t="s">
        <v>517</v>
      </c>
      <c r="B29" s="241" t="s">
        <v>518</v>
      </c>
      <c r="C29" s="242" t="s">
        <v>519</v>
      </c>
      <c r="D29" s="242" t="s">
        <v>581</v>
      </c>
      <c r="E29" s="8" t="s">
        <v>598</v>
      </c>
      <c r="F29" s="239" t="s">
        <v>583</v>
      </c>
    </row>
    <row r="30" spans="1:6" x14ac:dyDescent="0.25">
      <c r="A30" s="253" t="s">
        <v>520</v>
      </c>
      <c r="B30" s="254"/>
      <c r="C30" s="254"/>
      <c r="D30" s="239"/>
      <c r="E30" s="239"/>
      <c r="F30" s="239"/>
    </row>
    <row r="31" spans="1:6" x14ac:dyDescent="0.25">
      <c r="A31" s="240" t="s">
        <v>521</v>
      </c>
      <c r="B31" s="241" t="s">
        <v>522</v>
      </c>
      <c r="C31" s="242" t="s">
        <v>587</v>
      </c>
      <c r="D31" s="242" t="s">
        <v>574</v>
      </c>
      <c r="E31" s="8" t="s">
        <v>601</v>
      </c>
      <c r="F31" s="239" t="s">
        <v>588</v>
      </c>
    </row>
    <row r="32" spans="1:6" ht="30" x14ac:dyDescent="0.25">
      <c r="A32" s="243" t="s">
        <v>523</v>
      </c>
      <c r="B32" s="244" t="s">
        <v>524</v>
      </c>
      <c r="C32" s="245" t="s">
        <v>525</v>
      </c>
      <c r="D32" s="245"/>
      <c r="E32" s="8" t="s">
        <v>600</v>
      </c>
      <c r="F32" s="239"/>
    </row>
    <row r="33" spans="1:6" x14ac:dyDescent="0.25">
      <c r="A33" s="240" t="s">
        <v>526</v>
      </c>
      <c r="B33" s="241" t="s">
        <v>527</v>
      </c>
      <c r="C33" s="242" t="s">
        <v>528</v>
      </c>
      <c r="D33" s="242"/>
      <c r="E33" s="250"/>
      <c r="F33" s="239"/>
    </row>
    <row r="34" spans="1:6" x14ac:dyDescent="0.25">
      <c r="A34" s="243" t="s">
        <v>517</v>
      </c>
      <c r="B34" s="244" t="s">
        <v>474</v>
      </c>
      <c r="C34" s="245" t="s">
        <v>529</v>
      </c>
      <c r="D34" s="245" t="s">
        <v>589</v>
      </c>
      <c r="E34" s="251"/>
      <c r="F34" s="239" t="s">
        <v>590</v>
      </c>
    </row>
    <row r="35" spans="1:6" x14ac:dyDescent="0.25">
      <c r="A35" s="253" t="s">
        <v>530</v>
      </c>
      <c r="B35" s="254"/>
      <c r="C35" s="254"/>
      <c r="D35" s="239"/>
      <c r="E35" s="239"/>
      <c r="F35" s="239"/>
    </row>
    <row r="36" spans="1:6" x14ac:dyDescent="0.25">
      <c r="A36" s="240" t="s">
        <v>531</v>
      </c>
      <c r="B36" s="241" t="s">
        <v>532</v>
      </c>
      <c r="C36" s="242" t="s">
        <v>533</v>
      </c>
      <c r="D36" s="242"/>
      <c r="E36" s="8" t="s">
        <v>610</v>
      </c>
      <c r="F36" s="239"/>
    </row>
    <row r="37" spans="1:6" x14ac:dyDescent="0.25">
      <c r="A37" s="243" t="s">
        <v>513</v>
      </c>
      <c r="B37" s="244" t="s">
        <v>453</v>
      </c>
      <c r="C37" s="245" t="s">
        <v>534</v>
      </c>
      <c r="D37" s="245" t="s">
        <v>591</v>
      </c>
      <c r="E37" s="8" t="s">
        <v>607</v>
      </c>
      <c r="F37" s="239" t="s">
        <v>592</v>
      </c>
    </row>
    <row r="38" spans="1:6" x14ac:dyDescent="0.25">
      <c r="A38" s="240" t="s">
        <v>514</v>
      </c>
      <c r="B38" s="241" t="s">
        <v>535</v>
      </c>
      <c r="C38" s="242" t="s">
        <v>536</v>
      </c>
      <c r="D38" s="242"/>
      <c r="E38" s="8" t="s">
        <v>609</v>
      </c>
      <c r="F38" s="239"/>
    </row>
    <row r="39" spans="1:6" x14ac:dyDescent="0.25">
      <c r="A39" s="243" t="s">
        <v>537</v>
      </c>
      <c r="B39" s="244" t="s">
        <v>504</v>
      </c>
      <c r="C39" s="245" t="s">
        <v>538</v>
      </c>
      <c r="D39" s="242" t="s">
        <v>594</v>
      </c>
      <c r="E39" s="8" t="s">
        <v>608</v>
      </c>
      <c r="F39" s="239" t="s">
        <v>593</v>
      </c>
    </row>
    <row r="40" spans="1:6" x14ac:dyDescent="0.25">
      <c r="A40" s="240" t="s">
        <v>539</v>
      </c>
      <c r="B40" s="241" t="s">
        <v>474</v>
      </c>
      <c r="C40" s="242" t="s">
        <v>540</v>
      </c>
      <c r="D40" s="242"/>
      <c r="E40" s="8"/>
      <c r="F40" s="239"/>
    </row>
    <row r="41" spans="1:6" x14ac:dyDescent="0.25">
      <c r="A41" s="253" t="s">
        <v>541</v>
      </c>
      <c r="B41" s="254"/>
      <c r="C41" s="254"/>
      <c r="D41" s="239"/>
      <c r="E41" s="239"/>
      <c r="F41" s="239"/>
    </row>
    <row r="42" spans="1:6" ht="30" x14ac:dyDescent="0.25">
      <c r="A42" s="240" t="s">
        <v>494</v>
      </c>
      <c r="B42" s="241" t="s">
        <v>542</v>
      </c>
      <c r="C42" s="242" t="s">
        <v>543</v>
      </c>
      <c r="D42" s="242"/>
      <c r="E42" s="8" t="s">
        <v>611</v>
      </c>
      <c r="F42" s="239"/>
    </row>
    <row r="43" spans="1:6" x14ac:dyDescent="0.25">
      <c r="A43" s="243" t="s">
        <v>497</v>
      </c>
      <c r="B43" s="244" t="s">
        <v>453</v>
      </c>
      <c r="C43" s="245" t="s">
        <v>544</v>
      </c>
      <c r="D43" s="245"/>
      <c r="E43" s="251"/>
      <c r="F43" s="239"/>
    </row>
    <row r="44" spans="1:6" x14ac:dyDescent="0.25">
      <c r="A44" s="240" t="s">
        <v>514</v>
      </c>
      <c r="B44" s="241" t="s">
        <v>545</v>
      </c>
      <c r="C44" s="242" t="s">
        <v>546</v>
      </c>
      <c r="D44" s="242"/>
      <c r="E44" s="250"/>
      <c r="F44" s="239"/>
    </row>
    <row r="45" spans="1:6" x14ac:dyDescent="0.25">
      <c r="A45" s="243" t="s">
        <v>547</v>
      </c>
      <c r="B45" s="244" t="s">
        <v>548</v>
      </c>
      <c r="C45" s="245" t="s">
        <v>549</v>
      </c>
      <c r="D45" s="245"/>
      <c r="E45" s="251"/>
      <c r="F45" s="239"/>
    </row>
    <row r="46" spans="1:6" x14ac:dyDescent="0.25">
      <c r="A46" s="253" t="s">
        <v>550</v>
      </c>
      <c r="B46" s="254"/>
      <c r="C46" s="254"/>
      <c r="D46" s="239"/>
      <c r="E46" s="239"/>
      <c r="F46" s="239"/>
    </row>
    <row r="47" spans="1:6" ht="30" x14ac:dyDescent="0.25">
      <c r="A47" s="240" t="s">
        <v>531</v>
      </c>
      <c r="B47" s="241" t="s">
        <v>551</v>
      </c>
      <c r="C47" s="242" t="s">
        <v>552</v>
      </c>
      <c r="D47" s="242"/>
      <c r="E47" s="250"/>
      <c r="F47" s="239"/>
    </row>
    <row r="48" spans="1:6" x14ac:dyDescent="0.25">
      <c r="A48" s="243" t="s">
        <v>513</v>
      </c>
      <c r="B48" s="244" t="s">
        <v>453</v>
      </c>
      <c r="C48" s="245" t="s">
        <v>553</v>
      </c>
      <c r="D48" s="245"/>
      <c r="E48" s="251"/>
      <c r="F48" s="239"/>
    </row>
    <row r="49" spans="1:6" x14ac:dyDescent="0.25">
      <c r="A49" s="240" t="s">
        <v>554</v>
      </c>
      <c r="B49" s="241" t="s">
        <v>555</v>
      </c>
      <c r="C49" s="242" t="s">
        <v>556</v>
      </c>
      <c r="D49" s="242"/>
      <c r="E49" s="250"/>
      <c r="F49" s="239"/>
    </row>
    <row r="50" spans="1:6" x14ac:dyDescent="0.25">
      <c r="A50" s="243" t="s">
        <v>517</v>
      </c>
      <c r="B50" s="244" t="s">
        <v>557</v>
      </c>
      <c r="C50" s="245" t="s">
        <v>558</v>
      </c>
      <c r="D50" s="245"/>
      <c r="E50" s="251"/>
      <c r="F50" s="239"/>
    </row>
    <row r="51" spans="1:6" x14ac:dyDescent="0.25">
      <c r="A51" s="253" t="s">
        <v>559</v>
      </c>
      <c r="B51" s="254"/>
      <c r="C51" s="254"/>
      <c r="D51" s="239"/>
      <c r="E51" s="239"/>
      <c r="F51" s="239"/>
    </row>
    <row r="52" spans="1:6" x14ac:dyDescent="0.25">
      <c r="A52" s="240" t="s">
        <v>560</v>
      </c>
      <c r="B52" s="241" t="s">
        <v>561</v>
      </c>
      <c r="C52" s="242" t="s">
        <v>562</v>
      </c>
      <c r="D52" s="242"/>
      <c r="E52" s="250"/>
      <c r="F52" s="239"/>
    </row>
    <row r="53" spans="1:6" x14ac:dyDescent="0.25">
      <c r="A53" s="243" t="s">
        <v>563</v>
      </c>
      <c r="B53" s="244" t="s">
        <v>453</v>
      </c>
      <c r="C53" s="245" t="s">
        <v>564</v>
      </c>
      <c r="D53" s="245"/>
      <c r="E53" s="251"/>
      <c r="F53" s="239"/>
    </row>
    <row r="54" spans="1:6" x14ac:dyDescent="0.25">
      <c r="A54" s="240" t="s">
        <v>565</v>
      </c>
      <c r="B54" s="241" t="s">
        <v>566</v>
      </c>
      <c r="C54" s="242" t="s">
        <v>567</v>
      </c>
      <c r="D54" s="242"/>
      <c r="E54" s="250"/>
      <c r="F54" s="239"/>
    </row>
    <row r="55" spans="1:6" x14ac:dyDescent="0.25">
      <c r="A55" s="243" t="s">
        <v>568</v>
      </c>
      <c r="B55" s="244" t="s">
        <v>569</v>
      </c>
      <c r="C55" s="245" t="s">
        <v>570</v>
      </c>
      <c r="D55" s="245"/>
      <c r="E55" s="251"/>
      <c r="F55" s="239"/>
    </row>
  </sheetData>
  <mergeCells count="9">
    <mergeCell ref="A41:C41"/>
    <mergeCell ref="A46:C46"/>
    <mergeCell ref="A51:C51"/>
    <mergeCell ref="A24:C24"/>
    <mergeCell ref="A2:C2"/>
    <mergeCell ref="A12:C12"/>
    <mergeCell ref="A17:C17"/>
    <mergeCell ref="A30:C30"/>
    <mergeCell ref="A35:C35"/>
  </mergeCells>
  <hyperlinks>
    <hyperlink ref="F4" r:id="rId1" xr:uid="{6D84B550-56D9-418A-9D1C-EC3261D9DE2C}"/>
    <hyperlink ref="F8" r:id="rId2" xr:uid="{362D1549-C6B0-4DBA-AF53-F162C8958291}"/>
    <hyperlink ref="F9" r:id="rId3" xr:uid="{ABA130E2-28CF-48C2-9144-36C703EF636A}"/>
    <hyperlink ref="F13" r:id="rId4" xr:uid="{E5CCB325-1CF9-4D32-BBF7-BAFC64ADBA13}"/>
    <hyperlink ref="F15" r:id="rId5" xr:uid="{E2214F55-DBDD-417E-89D1-CBE8A004BF1C}"/>
    <hyperlink ref="F20" r:id="rId6" xr:uid="{83714BB7-E198-4AF2-9E3F-F0EB6C640209}"/>
    <hyperlink ref="F22" r:id="rId7" xr:uid="{3D986609-D1AD-40CD-9D91-B61C2D40A5ED}"/>
    <hyperlink ref="F23" r:id="rId8" xr:uid="{9191FE3F-DA50-42C9-A969-CB2607764014}"/>
    <hyperlink ref="F6" r:id="rId9" xr:uid="{1A57CA13-D567-426E-8F5E-D61428112166}"/>
    <hyperlink ref="E6" r:id="rId10" xr:uid="{AD9D2A23-197E-48AD-BEB3-D183F57E51A7}"/>
    <hyperlink ref="E8" r:id="rId11" xr:uid="{C57DE3BC-5611-4857-AF68-85AE0077E820}"/>
    <hyperlink ref="E5" r:id="rId12" xr:uid="{51324F1C-9EC8-4171-933D-4D6E14F3B038}"/>
    <hyperlink ref="E9" r:id="rId13" xr:uid="{2B5871D6-0326-4F93-B09F-9BD757F4381C}"/>
    <hyperlink ref="E10" r:id="rId14" xr:uid="{8E723CD2-8DD2-4F75-A351-8FF96F018CD7}"/>
    <hyperlink ref="E13" r:id="rId15" display="../../../../../:i:/r/personal/minhpq_bsc_com_vn/Documents/09_CODER/00_travel-app/2_day2_disney.png?d=wc296c5a87d344b5b919adbf3ef69f77b&amp;csf=1&amp;web=1&amp;e=W92T7o" xr:uid="{A127C563-4395-834B-8788-273A8353BC20}"/>
    <hyperlink ref="E15" r:id="rId16" display="../../../../../:i:/r/personal/minhpq_bsc_com_vn/Documents/09_CODER/00_travel-app/2_day2_sushiro.png?d=wb0250abb38c644958a658f4efc667c78&amp;csf=1&amp;web=1&amp;e=sTFbPf" xr:uid="{190682BC-0E7E-0F41-962B-58506C0F8BD0}"/>
    <hyperlink ref="E29" r:id="rId17" display="../../../../../:i:/g/personal/minhpq_bsc_com_vn/IQASN3PAbS_HQIQR0_FD5n1SAYmOugjFcG6-uReJwtgcCYE?e=rWuANF" xr:uid="{14B42E94-EAB4-49CE-8D82-634EF37DDE61}"/>
    <hyperlink ref="E28" r:id="rId18" display="../../../../../:i:/g/personal/minhpq_bsc_com_vn/IQB4flsAI45cT5GSnsKF_MDyATLDL6sOsro-94ct9itxw2E?e=EcabOO" xr:uid="{070D46B9-DBEE-4997-88E3-49C9B34F002F}"/>
    <hyperlink ref="E32" r:id="rId19" display="../../../../../:i:/g/personal/minhpq_bsc_com_vn/IQDVbhGnxaZFTrkivsTz8W1bAasMUv2Dp_DAc_5yASeD4jc?e=Yzxj9t" xr:uid="{C5332A44-7860-4F7C-960D-16FF2F265C88}"/>
    <hyperlink ref="E31" r:id="rId20" display="../../../../../:i:/g/personal/minhpq_bsc_com_vn/IQDF_KiPSjFrR7ZlWEvC0H4SAb_fZExec5v9qbF93OoLF24?e=z1Dw9D" xr:uid="{73386BD0-603A-482D-92FF-59D863A29F48}"/>
    <hyperlink ref="E22" r:id="rId21" display="../../../../../:i:/g/personal/minhpq_bsc_com_vn/IQBfyu8zoXY_S5rF3ovv-j0hAS_Dfy_5GKsvUkE7i_A5ifY?e=h7e9ry" xr:uid="{BE3752B1-CE3A-4AF5-8F43-D003129F56DD}"/>
    <hyperlink ref="E20" r:id="rId22" display="../../../../../:i:/g/personal/minhpq_bsc_com_vn/IQBeIlMjtNl0So0gL7wAUJ8RAYxZvAF52IWD65LYwj9HdDg?e=Mgw4oP" xr:uid="{11B684D5-51AE-450C-AA0C-F2C510630764}"/>
    <hyperlink ref="E19" r:id="rId23" display="../../../../../:i:/g/personal/minhpq_bsc_com_vn/IQDgLzikkDBqRLl3xapqOwDcATte0JTl3J8WdYBzek6Tw7Q?e=Uq0g0C" xr:uid="{743F2D6C-ECC8-4036-BC04-F4192BC1ED40}"/>
    <hyperlink ref="E25" r:id="rId24" display="../../../../../:i:/g/personal/minhpq_bsc_com_vn/IQBtCFI7kvt6S4y0muApJt5iAVkKRs1rJwS249vVPd4-ruQ?e=fAZj4X" xr:uid="{B5209840-EABA-43BE-89C4-CFE907B6FDEB}"/>
    <hyperlink ref="E26" r:id="rId25" display="../../../../../:i:/g/personal/minhpq_bsc_com_vn/IQBglvt4QjBBQajia7NdromiAQo2Yakgyt_EjAYVvmRmn4E?e=eE8Exg" xr:uid="{E8D17240-227D-4451-8E14-2C32E5173B22}"/>
    <hyperlink ref="E37" r:id="rId26" display="../../../../../:i:/g/personal/minhpq_bsc_com_vn/IQCreXQiRgOFS7ggHlFNPGp-AWqnApOir01Hof4dqpVIekQ?e=mUwQxU" xr:uid="{FF254E55-70F6-47B4-A75D-9C56C001803A}"/>
    <hyperlink ref="E38" r:id="rId27" display="../../../../../:i:/g/personal/minhpq_bsc_com_vn/IQAO8_8SJog3Q4lH799OHOszARpKVXVJW3V-h72xMUw-LtY?e=fHJkTy" xr:uid="{9DE7349E-5DAC-489D-9BA1-920BCD256779}"/>
    <hyperlink ref="E36" r:id="rId28" display="../../../../../:i:/g/personal/minhpq_bsc_com_vn/IQAi5aJIKv75Q5U5vm6kHBDjARkqNOrYQa7d-mPqOmt_l9M?e=odHoQX" xr:uid="{2B6E1CBF-87A2-4134-BE94-277B3CC7FFB9}"/>
    <hyperlink ref="E42" r:id="rId29" display="../../../../../:i:/g/personal/minhpq_bsc_com_vn/IQBvxNjcSnLqT7jKgOPhtaV8AWmmNNqk6oh9a1lt8vbQuno?e=btuKan" xr:uid="{38E5D752-73C6-4466-B72D-45897A20A545}"/>
    <hyperlink ref="E39" r:id="rId30" display="../../../../../:i:/g/personal/minhpq_bsc_com_vn/IQAB-UbxLXE3QalHQcXGuVhMAY7ZhR4RXior7Gu8u3jicQ4?e=iFyZcH" xr:uid="{072046B0-F592-4B21-9C7B-E122D9FE42AE}"/>
  </hyperlinks>
  <pageMargins left="0.7" right="0.7" top="0.75" bottom="0.75" header="0.3" footer="0.3"/>
  <pageSetup paperSize="9" fitToHeight="0" orientation="landscape" r:id="rId3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4695005C4BEE4A8751FEE2C473E10D" ma:contentTypeVersion="16" ma:contentTypeDescription="Create a new document." ma:contentTypeScope="" ma:versionID="df7fcaa21f93254d26451ff7a6d04ad2">
  <xsd:schema xmlns:xsd="http://www.w3.org/2001/XMLSchema" xmlns:xs="http://www.w3.org/2001/XMLSchema" xmlns:p="http://schemas.microsoft.com/office/2006/metadata/properties" xmlns:ns3="8ee09cf5-53a8-4aeb-94af-927f54a7d6d8" xmlns:ns4="ecf1487c-a58a-4bc0-a420-fb42a2a3dfc7" targetNamespace="http://schemas.microsoft.com/office/2006/metadata/properties" ma:root="true" ma:fieldsID="fefbcb393e90fe08e3723c038b505a33" ns3:_="" ns4:_="">
    <xsd:import namespace="8ee09cf5-53a8-4aeb-94af-927f54a7d6d8"/>
    <xsd:import namespace="ecf1487c-a58a-4bc0-a420-fb42a2a3dfc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e09cf5-53a8-4aeb-94af-927f54a7d6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f1487c-a58a-4bc0-a420-fb42a2a3dfc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ee09cf5-53a8-4aeb-94af-927f54a7d6d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59486CE-8728-40BE-973B-B64C7CD06C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e09cf5-53a8-4aeb-94af-927f54a7d6d8"/>
    <ds:schemaRef ds:uri="ecf1487c-a58a-4bc0-a420-fb42a2a3df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C6EF48D-28DC-4A85-AE0A-77598A9ABE97}">
  <ds:schemaRefs>
    <ds:schemaRef ds:uri="http://schemas.microsoft.com/office/2006/documentManagement/types"/>
    <ds:schemaRef ds:uri="ecf1487c-a58a-4bc0-a420-fb42a2a3dfc7"/>
    <ds:schemaRef ds:uri="8ee09cf5-53a8-4aeb-94af-927f54a7d6d8"/>
    <ds:schemaRef ds:uri="http://purl.org/dc/elements/1.1/"/>
    <ds:schemaRef ds:uri="http://purl.org/dc/dcmitype/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D8E275EF-C000-4518-B0F8-FE9A60820B5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CHI PHÍ</vt:lpstr>
      <vt:lpstr>LỊCH TRÌNH</vt:lpstr>
      <vt:lpstr>2026 HAKUBA</vt:lpstr>
      <vt:lpstr>2025</vt:lpstr>
      <vt:lpstr>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Herik Pham</dc:creator>
  <cp:keywords/>
  <dc:description/>
  <cp:lastModifiedBy>Pham Quang Minh</cp:lastModifiedBy>
  <cp:revision/>
  <dcterms:created xsi:type="dcterms:W3CDTF">2024-04-28T12:03:41Z</dcterms:created>
  <dcterms:modified xsi:type="dcterms:W3CDTF">2026-09-16T12:25:42Z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0x0101005A4695005C4BEE4A8751FEE2C473E10D</vt:lpwstr>
  </property>
</Properties>
</file>